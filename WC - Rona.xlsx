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146fe2527b5e46/Desktop/Personal/World Cup 26/"/>
    </mc:Choice>
  </mc:AlternateContent>
  <xr:revisionPtr revIDLastSave="7223" documentId="8_{039B2390-A828-4A39-BFA9-7EF21B63ED3B}" xr6:coauthVersionLast="47" xr6:coauthVersionMax="47" xr10:uidLastSave="{93F014CA-061E-4759-8545-1606CBDF4FD2}"/>
  <bookViews>
    <workbookView xWindow="-28920" yWindow="2505" windowWidth="29040" windowHeight="15720" xr2:uid="{AEB89C08-5595-43EA-9CD5-774FAA1DB4BC}"/>
  </bookViews>
  <sheets>
    <sheet name="Master Score" sheetId="1" r:id="rId1"/>
    <sheet name="Predictions" sheetId="2" r:id="rId2"/>
    <sheet name="Leaderboard" sheetId="4" r:id="rId3"/>
    <sheet name="Stats" sheetId="13" r:id="rId4"/>
    <sheet name="Sheet2" sheetId="15" r:id="rId5"/>
    <sheet name="Sheet1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5" l="1" a="1"/>
  <c r="K3" i="15" s="1"/>
  <c r="K4" i="15" a="1"/>
  <c r="K4" i="15" s="1"/>
  <c r="K5" i="15" a="1"/>
  <c r="K5" i="15" s="1"/>
  <c r="K6" i="15" a="1"/>
  <c r="K6" i="15" s="1"/>
  <c r="K7" i="15" a="1"/>
  <c r="K7" i="15" s="1"/>
  <c r="K8" i="15" a="1"/>
  <c r="K8" i="15" s="1"/>
  <c r="K9" i="15" a="1"/>
  <c r="K9" i="15" s="1"/>
  <c r="K10" i="15" a="1"/>
  <c r="K10" i="15" s="1"/>
  <c r="K11" i="15" a="1"/>
  <c r="K11" i="15" s="1"/>
  <c r="K12" i="15" a="1"/>
  <c r="K12" i="15" s="1"/>
  <c r="K13" i="15" a="1"/>
  <c r="K13" i="15" s="1"/>
  <c r="K14" i="15" a="1"/>
  <c r="K14" i="15" s="1"/>
  <c r="K15" i="15" a="1"/>
  <c r="K15" i="15" s="1"/>
  <c r="K16" i="15" a="1"/>
  <c r="K16" i="15" s="1"/>
  <c r="K17" i="15" a="1"/>
  <c r="K17" i="15"/>
  <c r="K18" i="15" a="1"/>
  <c r="K18" i="15" s="1"/>
  <c r="K19" i="15" a="1"/>
  <c r="K19" i="15" s="1"/>
  <c r="K20" i="15" a="1"/>
  <c r="K20" i="15" s="1"/>
  <c r="K21" i="15" a="1"/>
  <c r="K21" i="15" s="1"/>
  <c r="K22" i="15" a="1"/>
  <c r="K22" i="15" s="1"/>
  <c r="K23" i="15" a="1"/>
  <c r="K23" i="15" s="1"/>
  <c r="K24" i="15" a="1"/>
  <c r="K24" i="15" s="1"/>
  <c r="K25" i="15" a="1"/>
  <c r="K25" i="15" s="1"/>
  <c r="K26" i="15" a="1"/>
  <c r="K26" i="15" s="1"/>
  <c r="K27" i="15" a="1"/>
  <c r="K27" i="15" s="1"/>
  <c r="K28" i="15" a="1"/>
  <c r="K28" i="15" s="1"/>
  <c r="K29" i="15" a="1"/>
  <c r="K29" i="15"/>
  <c r="K30" i="15" a="1"/>
  <c r="K30" i="15" s="1"/>
  <c r="K31" i="15" a="1"/>
  <c r="K31" i="15"/>
  <c r="K32" i="15" a="1"/>
  <c r="K32" i="15" s="1"/>
  <c r="K33" i="15" a="1"/>
  <c r="K33" i="15" s="1"/>
  <c r="K34" i="15" a="1"/>
  <c r="K34" i="15" s="1"/>
  <c r="K35" i="15" a="1"/>
  <c r="K35" i="15" s="1"/>
  <c r="K36" i="15" a="1"/>
  <c r="K36" i="15"/>
  <c r="K37" i="15" a="1"/>
  <c r="K37" i="15" s="1"/>
  <c r="K38" i="15" a="1"/>
  <c r="K38" i="15"/>
  <c r="K39" i="15" a="1"/>
  <c r="K39" i="15" s="1"/>
  <c r="K40" i="15" a="1"/>
  <c r="K40" i="15" s="1"/>
  <c r="K41" i="15" a="1"/>
  <c r="K41" i="15" s="1"/>
  <c r="K42" i="15" a="1"/>
  <c r="K42" i="15" s="1"/>
  <c r="K43" i="15" a="1"/>
  <c r="K43" i="15"/>
  <c r="K44" i="15" a="1"/>
  <c r="K44" i="15" s="1"/>
  <c r="K45" i="15" a="1"/>
  <c r="K45" i="15" s="1"/>
  <c r="K46" i="15" a="1"/>
  <c r="K46" i="15" s="1"/>
  <c r="K47" i="15" a="1"/>
  <c r="K47" i="15" s="1"/>
  <c r="K48" i="15" a="1"/>
  <c r="K48" i="15"/>
  <c r="K49" i="15" a="1"/>
  <c r="K49" i="15" s="1"/>
  <c r="K50" i="15" a="1"/>
  <c r="K50" i="15"/>
  <c r="K51" i="15" a="1"/>
  <c r="K51" i="15" s="1"/>
  <c r="K52" i="15" a="1"/>
  <c r="K52" i="15" s="1"/>
  <c r="K53" i="15" a="1"/>
  <c r="K53" i="15"/>
  <c r="K54" i="15" a="1"/>
  <c r="K54" i="15" s="1"/>
  <c r="K55" i="15" a="1"/>
  <c r="K55" i="15"/>
  <c r="K56" i="15" a="1"/>
  <c r="K56" i="15"/>
  <c r="K57" i="15" a="1"/>
  <c r="K57" i="15" s="1"/>
  <c r="K58" i="15" a="1"/>
  <c r="K58" i="15" s="1"/>
  <c r="K59" i="15" a="1"/>
  <c r="K59" i="15" s="1"/>
  <c r="K60" i="15" a="1"/>
  <c r="K60" i="15"/>
  <c r="K61" i="15" a="1"/>
  <c r="K61" i="15" s="1"/>
  <c r="K62" i="15" a="1"/>
  <c r="K62" i="15"/>
  <c r="K63" i="15" a="1"/>
  <c r="K63" i="15" s="1"/>
  <c r="K64" i="15" a="1"/>
  <c r="K64" i="15" s="1"/>
  <c r="K65" i="15" a="1"/>
  <c r="K65" i="15"/>
  <c r="K66" i="15" a="1"/>
  <c r="K66" i="15" s="1"/>
  <c r="K67" i="15" a="1"/>
  <c r="K67" i="15"/>
  <c r="K68" i="15" a="1"/>
  <c r="K68" i="15" s="1"/>
  <c r="K69" i="15" a="1"/>
  <c r="K69" i="15" s="1"/>
  <c r="K70" i="15" a="1"/>
  <c r="K70" i="15" s="1"/>
  <c r="K71" i="15" a="1"/>
  <c r="K71" i="15"/>
  <c r="K72" i="15" a="1"/>
  <c r="K72" i="15"/>
  <c r="K73" i="15" a="1"/>
  <c r="K73" i="15" s="1"/>
  <c r="K2" i="15" a="1"/>
  <c r="K2" i="15" s="1"/>
  <c r="J3" i="15" a="1"/>
  <c r="J3" i="15" s="1"/>
  <c r="J4" i="15" a="1"/>
  <c r="J4" i="15" s="1"/>
  <c r="J5" i="15" a="1"/>
  <c r="J5" i="15" s="1"/>
  <c r="J6" i="15" a="1"/>
  <c r="J6" i="15"/>
  <c r="J7" i="15" a="1"/>
  <c r="J7" i="15"/>
  <c r="J8" i="15" a="1"/>
  <c r="J8" i="15" s="1"/>
  <c r="J9" i="15" a="1"/>
  <c r="J9" i="15" s="1"/>
  <c r="J10" i="15" a="1"/>
  <c r="J10" i="15"/>
  <c r="J11" i="15" a="1"/>
  <c r="J11" i="15" s="1"/>
  <c r="J12" i="15" a="1"/>
  <c r="J12" i="15" s="1"/>
  <c r="J13" i="15" a="1"/>
  <c r="J13" i="15"/>
  <c r="J14" i="15" a="1"/>
  <c r="J14" i="15" s="1"/>
  <c r="J15" i="15" a="1"/>
  <c r="J15" i="15" s="1"/>
  <c r="J16" i="15" a="1"/>
  <c r="J16" i="15" s="1"/>
  <c r="J17" i="15" a="1"/>
  <c r="J17" i="15"/>
  <c r="J18" i="15" a="1"/>
  <c r="J18" i="15" s="1"/>
  <c r="J19" i="15" a="1"/>
  <c r="J19" i="15"/>
  <c r="J20" i="15" a="1"/>
  <c r="J20" i="15"/>
  <c r="J21" i="15" a="1"/>
  <c r="J21" i="15" s="1"/>
  <c r="J22" i="15" a="1"/>
  <c r="J22" i="15" s="1"/>
  <c r="J23" i="15" a="1"/>
  <c r="J23" i="15"/>
  <c r="J24" i="15" a="1"/>
  <c r="J24" i="15"/>
  <c r="J25" i="15" a="1"/>
  <c r="J25" i="15" s="1"/>
  <c r="J26" i="15" a="1"/>
  <c r="J26" i="15"/>
  <c r="J27" i="15" a="1"/>
  <c r="J27" i="15" s="1"/>
  <c r="J28" i="15" a="1"/>
  <c r="J28" i="15" s="1"/>
  <c r="J29" i="15" a="1"/>
  <c r="J29" i="15" s="1"/>
  <c r="J30" i="15" a="1"/>
  <c r="J30" i="15" s="1"/>
  <c r="J31" i="15" a="1"/>
  <c r="J31" i="15"/>
  <c r="J32" i="15" a="1"/>
  <c r="J32" i="15" s="1"/>
  <c r="J33" i="15" a="1"/>
  <c r="J33" i="15" s="1"/>
  <c r="J34" i="15" a="1"/>
  <c r="J34" i="15" s="1"/>
  <c r="J35" i="15" a="1"/>
  <c r="J35" i="15" s="1"/>
  <c r="J36" i="15" a="1"/>
  <c r="J36" i="15" s="1"/>
  <c r="J37" i="15" a="1"/>
  <c r="J37" i="15" s="1"/>
  <c r="J38" i="15" a="1"/>
  <c r="J38" i="15"/>
  <c r="J39" i="15" a="1"/>
  <c r="J39" i="15" s="1"/>
  <c r="J40" i="15" a="1"/>
  <c r="J40" i="15" s="1"/>
  <c r="J41" i="15" a="1"/>
  <c r="J41" i="15"/>
  <c r="J42" i="15" a="1"/>
  <c r="J42" i="15" s="1"/>
  <c r="J43" i="15" a="1"/>
  <c r="J43" i="15"/>
  <c r="J44" i="15" a="1"/>
  <c r="J44" i="15" s="1"/>
  <c r="J45" i="15" a="1"/>
  <c r="J45" i="15" s="1"/>
  <c r="J46" i="15" a="1"/>
  <c r="J46" i="15" s="1"/>
  <c r="J47" i="15" a="1"/>
  <c r="J47" i="15" s="1"/>
  <c r="J48" i="15" a="1"/>
  <c r="J48" i="15"/>
  <c r="J49" i="15" a="1"/>
  <c r="J49" i="15"/>
  <c r="J50" i="15" a="1"/>
  <c r="J50" i="15" s="1"/>
  <c r="J51" i="15" a="1"/>
  <c r="J51" i="15" s="1"/>
  <c r="J52" i="15" a="1"/>
  <c r="J52" i="15" s="1"/>
  <c r="J53" i="15" a="1"/>
  <c r="J53" i="15"/>
  <c r="J54" i="15" a="1"/>
  <c r="J54" i="15" s="1"/>
  <c r="J55" i="15" a="1"/>
  <c r="J55" i="15"/>
  <c r="J56" i="15" a="1"/>
  <c r="J56" i="15"/>
  <c r="J57" i="15" a="1"/>
  <c r="J57" i="15" s="1"/>
  <c r="J58" i="15" a="1"/>
  <c r="J58" i="15" s="1"/>
  <c r="J59" i="15" a="1"/>
  <c r="J59" i="15" s="1"/>
  <c r="J60" i="15" a="1"/>
  <c r="J60" i="15"/>
  <c r="J61" i="15" a="1"/>
  <c r="J61" i="15" s="1"/>
  <c r="J62" i="15" a="1"/>
  <c r="J62" i="15"/>
  <c r="J63" i="15" a="1"/>
  <c r="J63" i="15" s="1"/>
  <c r="J64" i="15" a="1"/>
  <c r="J64" i="15" s="1"/>
  <c r="J65" i="15" a="1"/>
  <c r="J65" i="15"/>
  <c r="J66" i="15" a="1"/>
  <c r="J66" i="15" s="1"/>
  <c r="J67" i="15" a="1"/>
  <c r="J67" i="15" s="1"/>
  <c r="J68" i="15" a="1"/>
  <c r="J68" i="15" s="1"/>
  <c r="J69" i="15" a="1"/>
  <c r="J69" i="15" s="1"/>
  <c r="J70" i="15" a="1"/>
  <c r="J70" i="15" s="1"/>
  <c r="J71" i="15" a="1"/>
  <c r="J71" i="15"/>
  <c r="J72" i="15" a="1"/>
  <c r="J72" i="15"/>
  <c r="J73" i="15" a="1"/>
  <c r="J73" i="15" s="1"/>
  <c r="J2" i="15" a="1"/>
  <c r="J2" i="15" s="1"/>
  <c r="I3" i="15" a="1"/>
  <c r="I3" i="15" s="1"/>
  <c r="I4" i="15" a="1"/>
  <c r="I4" i="15" s="1"/>
  <c r="I5" i="15" a="1"/>
  <c r="I5" i="15" s="1"/>
  <c r="I6" i="15" a="1"/>
  <c r="I6" i="15" s="1"/>
  <c r="I7" i="15" a="1"/>
  <c r="I7" i="15"/>
  <c r="I8" i="15" a="1"/>
  <c r="I8" i="15" s="1"/>
  <c r="I9" i="15" a="1"/>
  <c r="I9" i="15" s="1"/>
  <c r="I10" i="15" a="1"/>
  <c r="I10" i="15" s="1"/>
  <c r="I11" i="15" a="1"/>
  <c r="I11" i="15" s="1"/>
  <c r="I12" i="15" a="1"/>
  <c r="I12" i="15"/>
  <c r="I13" i="15" a="1"/>
  <c r="I13" i="15" s="1"/>
  <c r="I14" i="15" a="1"/>
  <c r="I14" i="15" s="1"/>
  <c r="I15" i="15" a="1"/>
  <c r="I15" i="15" s="1"/>
  <c r="I16" i="15" a="1"/>
  <c r="I16" i="15"/>
  <c r="I17" i="15" a="1"/>
  <c r="I17" i="15"/>
  <c r="I18" i="15" a="1"/>
  <c r="I18" i="15"/>
  <c r="I19" i="15" a="1"/>
  <c r="I19" i="15" s="1"/>
  <c r="I20" i="15" a="1"/>
  <c r="I20" i="15"/>
  <c r="I21" i="15" a="1"/>
  <c r="I21" i="15" s="1"/>
  <c r="I22" i="15" a="1"/>
  <c r="I22" i="15" s="1"/>
  <c r="I23" i="15" a="1"/>
  <c r="I23" i="15"/>
  <c r="I24" i="15" a="1"/>
  <c r="I24" i="15" s="1"/>
  <c r="I25" i="15" a="1"/>
  <c r="I25" i="15"/>
  <c r="I26" i="15" a="1"/>
  <c r="I26" i="15"/>
  <c r="I27" i="15" a="1"/>
  <c r="I27" i="15" s="1"/>
  <c r="I28" i="15" a="1"/>
  <c r="I28" i="15" s="1"/>
  <c r="I29" i="15" a="1"/>
  <c r="I29" i="15" s="1"/>
  <c r="I30" i="15" a="1"/>
  <c r="I30" i="15"/>
  <c r="I31" i="15" a="1"/>
  <c r="I31" i="15"/>
  <c r="I32" i="15" a="1"/>
  <c r="I32" i="15"/>
  <c r="I33" i="15" a="1"/>
  <c r="I33" i="15" s="1"/>
  <c r="I34" i="15" a="1"/>
  <c r="I34" i="15" s="1"/>
  <c r="I35" i="15" a="1"/>
  <c r="I35" i="15" s="1"/>
  <c r="I36" i="15" a="1"/>
  <c r="I36" i="15" s="1"/>
  <c r="I37" i="15" a="1"/>
  <c r="I37" i="15" s="1"/>
  <c r="I38" i="15" a="1"/>
  <c r="I38" i="15"/>
  <c r="I39" i="15" a="1"/>
  <c r="I39" i="15" s="1"/>
  <c r="I40" i="15" a="1"/>
  <c r="I40" i="15"/>
  <c r="I41" i="15" a="1"/>
  <c r="I41" i="15" s="1"/>
  <c r="I42" i="15" a="1"/>
  <c r="I42" i="15" s="1"/>
  <c r="I43" i="15" a="1"/>
  <c r="I43" i="15"/>
  <c r="I44" i="15" a="1"/>
  <c r="I44" i="15"/>
  <c r="I45" i="15" a="1"/>
  <c r="I45" i="15" s="1"/>
  <c r="I46" i="15" a="1"/>
  <c r="I46" i="15" s="1"/>
  <c r="I47" i="15" a="1"/>
  <c r="I47" i="15"/>
  <c r="I48" i="15" a="1"/>
  <c r="I48" i="15" s="1"/>
  <c r="I49" i="15" a="1"/>
  <c r="I49" i="15"/>
  <c r="I50" i="15" a="1"/>
  <c r="I50" i="15" s="1"/>
  <c r="I51" i="15" a="1"/>
  <c r="I51" i="15" s="1"/>
  <c r="I52" i="15" a="1"/>
  <c r="I52" i="15" s="1"/>
  <c r="I53" i="15" a="1"/>
  <c r="I53" i="15"/>
  <c r="I54" i="15" a="1"/>
  <c r="I54" i="15"/>
  <c r="I55" i="15" a="1"/>
  <c r="I55" i="15" s="1"/>
  <c r="I56" i="15" a="1"/>
  <c r="I56" i="15"/>
  <c r="I57" i="15" a="1"/>
  <c r="I57" i="15" s="1"/>
  <c r="I58" i="15" a="1"/>
  <c r="I58" i="15" s="1"/>
  <c r="I59" i="15" a="1"/>
  <c r="I59" i="15"/>
  <c r="I60" i="15" a="1"/>
  <c r="I60" i="15"/>
  <c r="I61" i="15" a="1"/>
  <c r="I61" i="15"/>
  <c r="I62" i="15" a="1"/>
  <c r="I62" i="15" s="1"/>
  <c r="I63" i="15" a="1"/>
  <c r="I63" i="15" s="1"/>
  <c r="I64" i="15" a="1"/>
  <c r="I64" i="15" s="1"/>
  <c r="I65" i="15" a="1"/>
  <c r="I65" i="15"/>
  <c r="I66" i="15" a="1"/>
  <c r="I66" i="15" s="1"/>
  <c r="I67" i="15" a="1"/>
  <c r="I67" i="15" s="1"/>
  <c r="I68" i="15" a="1"/>
  <c r="I68" i="15"/>
  <c r="I69" i="15" a="1"/>
  <c r="I69" i="15" s="1"/>
  <c r="I70" i="15" a="1"/>
  <c r="I70" i="15" s="1"/>
  <c r="I71" i="15" a="1"/>
  <c r="I71" i="15"/>
  <c r="I72" i="15" a="1"/>
  <c r="I72" i="15"/>
  <c r="I73" i="15" a="1"/>
  <c r="I73" i="15" s="1"/>
  <c r="I2" i="15" a="1"/>
  <c r="I2" i="15" s="1"/>
  <c r="H3" i="15" a="1"/>
  <c r="H3" i="15" s="1"/>
  <c r="H4" i="15" a="1"/>
  <c r="H4" i="15"/>
  <c r="H5" i="15" a="1"/>
  <c r="H5" i="15" s="1"/>
  <c r="H6" i="15" a="1"/>
  <c r="H6" i="15"/>
  <c r="H7" i="15" a="1"/>
  <c r="H7" i="15"/>
  <c r="H8" i="15" a="1"/>
  <c r="H8" i="15"/>
  <c r="H9" i="15" a="1"/>
  <c r="H9" i="15" s="1"/>
  <c r="H10" i="15" a="1"/>
  <c r="H10" i="15"/>
  <c r="H11" i="15" a="1"/>
  <c r="H11" i="15"/>
  <c r="H12" i="15" a="1"/>
  <c r="H12" i="15" s="1"/>
  <c r="H13" i="15" a="1"/>
  <c r="H13" i="15"/>
  <c r="H14" i="15" a="1"/>
  <c r="H14" i="15" s="1"/>
  <c r="H15" i="15" a="1"/>
  <c r="H15" i="15" s="1"/>
  <c r="H16" i="15" a="1"/>
  <c r="H16" i="15"/>
  <c r="H17" i="15" a="1"/>
  <c r="H17" i="15" s="1"/>
  <c r="H18" i="15" a="1"/>
  <c r="H18" i="15" s="1"/>
  <c r="H19" i="15" a="1"/>
  <c r="H19" i="15"/>
  <c r="H20" i="15" a="1"/>
  <c r="H20" i="15"/>
  <c r="H21" i="15" a="1"/>
  <c r="H21" i="15" s="1"/>
  <c r="H22" i="15" a="1"/>
  <c r="H22" i="15"/>
  <c r="H23" i="15" a="1"/>
  <c r="H23" i="15"/>
  <c r="H24" i="15" a="1"/>
  <c r="H24" i="15" s="1"/>
  <c r="H25" i="15" a="1"/>
  <c r="H25" i="15" s="1"/>
  <c r="H26" i="15" a="1"/>
  <c r="H26" i="15"/>
  <c r="H27" i="15" a="1"/>
  <c r="H27" i="15" s="1"/>
  <c r="H28" i="15" a="1"/>
  <c r="H28" i="15" s="1"/>
  <c r="H29" i="15" a="1"/>
  <c r="H29" i="15"/>
  <c r="H30" i="15" a="1"/>
  <c r="H30" i="15"/>
  <c r="H31" i="15" a="1"/>
  <c r="H31" i="15" s="1"/>
  <c r="H32" i="15" a="1"/>
  <c r="H32" i="15" s="1"/>
  <c r="H33" i="15" a="1"/>
  <c r="H33" i="15" s="1"/>
  <c r="H34" i="15" a="1"/>
  <c r="H34" i="15" s="1"/>
  <c r="H35" i="15" a="1"/>
  <c r="H35" i="15" s="1"/>
  <c r="H36" i="15" a="1"/>
  <c r="H36" i="15"/>
  <c r="H37" i="15" a="1"/>
  <c r="H37" i="15"/>
  <c r="H38" i="15" a="1"/>
  <c r="H38" i="15"/>
  <c r="H39" i="15" a="1"/>
  <c r="H39" i="15" s="1"/>
  <c r="H40" i="15" a="1"/>
  <c r="H40" i="15" s="1"/>
  <c r="H41" i="15" a="1"/>
  <c r="H41" i="15"/>
  <c r="H42" i="15" a="1"/>
  <c r="H42" i="15" s="1"/>
  <c r="H43" i="15" a="1"/>
  <c r="H43" i="15"/>
  <c r="H44" i="15" a="1"/>
  <c r="H44" i="15"/>
  <c r="H45" i="15" a="1"/>
  <c r="H45" i="15" s="1"/>
  <c r="H46" i="15" a="1"/>
  <c r="H46" i="15" s="1"/>
  <c r="H47" i="15" a="1"/>
  <c r="H47" i="15" s="1"/>
  <c r="H48" i="15" a="1"/>
  <c r="H48" i="15" s="1"/>
  <c r="H49" i="15" a="1"/>
  <c r="H49" i="15" s="1"/>
  <c r="H50" i="15" a="1"/>
  <c r="H50" i="15" s="1"/>
  <c r="H51" i="15" a="1"/>
  <c r="H51" i="15" s="1"/>
  <c r="H52" i="15" a="1"/>
  <c r="H52" i="15" s="1"/>
  <c r="H53" i="15" a="1"/>
  <c r="H53" i="15"/>
  <c r="H54" i="15" a="1"/>
  <c r="H54" i="15" s="1"/>
  <c r="H55" i="15" a="1"/>
  <c r="H55" i="15"/>
  <c r="H56" i="15" a="1"/>
  <c r="H56" i="15" s="1"/>
  <c r="H57" i="15" a="1"/>
  <c r="H57" i="15" s="1"/>
  <c r="H58" i="15" a="1"/>
  <c r="H58" i="15" s="1"/>
  <c r="H59" i="15" a="1"/>
  <c r="H59" i="15" s="1"/>
  <c r="H60" i="15" a="1"/>
  <c r="H60" i="15"/>
  <c r="H61" i="15" a="1"/>
  <c r="H61" i="15" s="1"/>
  <c r="H62" i="15" a="1"/>
  <c r="H62" i="15"/>
  <c r="H63" i="15" a="1"/>
  <c r="H63" i="15" s="1"/>
  <c r="H64" i="15" a="1"/>
  <c r="H64" i="15" s="1"/>
  <c r="H65" i="15" a="1"/>
  <c r="H65" i="15" s="1"/>
  <c r="H66" i="15" a="1"/>
  <c r="H66" i="15" s="1"/>
  <c r="H67" i="15" a="1"/>
  <c r="H67" i="15" s="1"/>
  <c r="H68" i="15" a="1"/>
  <c r="H68" i="15" s="1"/>
  <c r="H69" i="15" a="1"/>
  <c r="H69" i="15" s="1"/>
  <c r="H70" i="15" a="1"/>
  <c r="H70" i="15" s="1"/>
  <c r="H71" i="15" a="1"/>
  <c r="H71" i="15"/>
  <c r="H72" i="15" a="1"/>
  <c r="H72" i="15"/>
  <c r="H73" i="15" a="1"/>
  <c r="H73" i="15" s="1"/>
  <c r="H2" i="15" a="1"/>
  <c r="H2" i="15" s="1"/>
  <c r="G73" i="15" a="1"/>
  <c r="G73" i="15" s="1"/>
  <c r="G3" i="15" a="1"/>
  <c r="G3" i="15" s="1"/>
  <c r="G4" i="15" a="1"/>
  <c r="G4" i="15" s="1"/>
  <c r="G5" i="15" a="1"/>
  <c r="G5" i="15"/>
  <c r="G6" i="15" a="1"/>
  <c r="G6" i="15" s="1"/>
  <c r="G7" i="15" a="1"/>
  <c r="G7" i="15"/>
  <c r="G8" i="15" a="1"/>
  <c r="G8" i="15"/>
  <c r="G9" i="15" a="1"/>
  <c r="G9" i="15" s="1"/>
  <c r="G10" i="15" a="1"/>
  <c r="G10" i="15" s="1"/>
  <c r="G11" i="15" a="1"/>
  <c r="G11" i="15" s="1"/>
  <c r="G12" i="15" a="1"/>
  <c r="G12" i="15"/>
  <c r="G13" i="15" a="1"/>
  <c r="G13" i="15"/>
  <c r="G14" i="15" a="1"/>
  <c r="G14" i="15"/>
  <c r="G15" i="15" a="1"/>
  <c r="G15" i="15" s="1"/>
  <c r="G16" i="15" a="1"/>
  <c r="G16" i="15" s="1"/>
  <c r="G17" i="15" a="1"/>
  <c r="G17" i="15" s="1"/>
  <c r="G18" i="15" a="1"/>
  <c r="G18" i="15" s="1"/>
  <c r="G19" i="15" a="1"/>
  <c r="G19" i="15" s="1"/>
  <c r="G20" i="15" a="1"/>
  <c r="G20" i="15"/>
  <c r="G21" i="15" a="1"/>
  <c r="G21" i="15" s="1"/>
  <c r="G22" i="15" a="1"/>
  <c r="G22" i="15"/>
  <c r="G23" i="15" a="1"/>
  <c r="G23" i="15" s="1"/>
  <c r="G24" i="15" a="1"/>
  <c r="G24" i="15" s="1"/>
  <c r="G25" i="15" a="1"/>
  <c r="G25" i="15"/>
  <c r="G26" i="15" a="1"/>
  <c r="G26" i="15"/>
  <c r="G27" i="15" a="1"/>
  <c r="G27" i="15" s="1"/>
  <c r="G28" i="15" a="1"/>
  <c r="G28" i="15"/>
  <c r="G29" i="15" a="1"/>
  <c r="G29" i="15"/>
  <c r="G30" i="15" a="1"/>
  <c r="G30" i="15" s="1"/>
  <c r="G31" i="15" a="1"/>
  <c r="G31" i="15" s="1"/>
  <c r="G32" i="15" a="1"/>
  <c r="G32" i="15" s="1"/>
  <c r="G33" i="15" a="1"/>
  <c r="G33" i="15" s="1"/>
  <c r="G34" i="15" a="1"/>
  <c r="G34" i="15"/>
  <c r="G35" i="15" a="1"/>
  <c r="G35" i="15"/>
  <c r="G36" i="15" a="1"/>
  <c r="G36" i="15" s="1"/>
  <c r="G37" i="15" a="1"/>
  <c r="G37" i="15"/>
  <c r="G38" i="15" a="1"/>
  <c r="G38" i="15"/>
  <c r="G39" i="15" a="1"/>
  <c r="G39" i="15" s="1"/>
  <c r="G40" i="15" a="1"/>
  <c r="G40" i="15"/>
  <c r="G41" i="15" a="1"/>
  <c r="G41" i="15"/>
  <c r="G42" i="15" a="1"/>
  <c r="G42" i="15"/>
  <c r="G43" i="15" a="1"/>
  <c r="G43" i="15" s="1"/>
  <c r="G44" i="15" a="1"/>
  <c r="G44" i="15"/>
  <c r="G45" i="15" a="1"/>
  <c r="G45" i="15" s="1"/>
  <c r="G46" i="15" a="1"/>
  <c r="G46" i="15" s="1"/>
  <c r="G47" i="15" a="1"/>
  <c r="G47" i="15"/>
  <c r="G48" i="15" a="1"/>
  <c r="G48" i="15"/>
  <c r="G49" i="15" a="1"/>
  <c r="G49" i="15" s="1"/>
  <c r="G50" i="15" a="1"/>
  <c r="G50" i="15"/>
  <c r="G51" i="15" a="1"/>
  <c r="G51" i="15" s="1"/>
  <c r="G52" i="15" a="1"/>
  <c r="G52" i="15" s="1"/>
  <c r="G53" i="15" a="1"/>
  <c r="G53" i="15"/>
  <c r="G54" i="15" a="1"/>
  <c r="G54" i="15" s="1"/>
  <c r="G55" i="15" a="1"/>
  <c r="G55" i="15" s="1"/>
  <c r="G56" i="15" a="1"/>
  <c r="G56" i="15" s="1"/>
  <c r="G57" i="15" a="1"/>
  <c r="G57" i="15" s="1"/>
  <c r="G58" i="15" a="1"/>
  <c r="G58" i="15"/>
  <c r="G59" i="15" a="1"/>
  <c r="G59" i="15"/>
  <c r="G60" i="15" a="1"/>
  <c r="G60" i="15"/>
  <c r="G61" i="15" a="1"/>
  <c r="G61" i="15" s="1"/>
  <c r="G62" i="15" a="1"/>
  <c r="G62" i="15" s="1"/>
  <c r="G63" i="15" a="1"/>
  <c r="G63" i="15" s="1"/>
  <c r="G64" i="15" a="1"/>
  <c r="G64" i="15" s="1"/>
  <c r="G65" i="15" a="1"/>
  <c r="G65" i="15"/>
  <c r="G66" i="15" a="1"/>
  <c r="G66" i="15"/>
  <c r="G67" i="15" a="1"/>
  <c r="G67" i="15"/>
  <c r="G68" i="15" a="1"/>
  <c r="G68" i="15" s="1"/>
  <c r="G69" i="15" a="1"/>
  <c r="G69" i="15" s="1"/>
  <c r="G70" i="15" a="1"/>
  <c r="G70" i="15" s="1"/>
  <c r="G71" i="15" a="1"/>
  <c r="G71" i="15"/>
  <c r="G72" i="15" a="1"/>
  <c r="G72" i="15" s="1"/>
  <c r="G2" i="15" a="1"/>
  <c r="G2" i="15" s="1"/>
  <c r="K1" i="15"/>
  <c r="J1" i="15"/>
  <c r="I1" i="15"/>
  <c r="H1" i="15"/>
  <c r="G1" i="15"/>
  <c r="D4" i="4" a="1"/>
  <c r="D4" i="4" s="1"/>
  <c r="D5" i="4" a="1"/>
  <c r="D5" i="4" s="1"/>
  <c r="D6" i="4" a="1"/>
  <c r="D6" i="4" s="1"/>
  <c r="X2" i="13" a="1"/>
  <c r="X2" i="13" s="1"/>
  <c r="W2" i="13" a="1"/>
  <c r="W2" i="13" s="1"/>
  <c r="H1" i="2"/>
  <c r="V1" i="13" s="1"/>
  <c r="D3" i="4" a="1"/>
  <c r="D3" i="4" s="1"/>
  <c r="S1" i="4"/>
  <c r="AV2" i="13" a="1"/>
  <c r="AV2" i="13" s="1"/>
  <c r="BA2" i="13" a="1"/>
  <c r="BA2" i="13" s="1"/>
  <c r="BB2" i="13" a="1"/>
  <c r="BB2" i="13" s="1"/>
  <c r="BC2" i="13" a="1"/>
  <c r="BC2" i="13" s="1"/>
  <c r="BD2" i="13" a="1"/>
  <c r="BD2" i="13" s="1"/>
  <c r="BE2" i="13" a="1"/>
  <c r="BE2" i="13" s="1"/>
  <c r="BF2" i="13" a="1"/>
  <c r="BF2" i="13" s="1"/>
  <c r="BG2" i="13" a="1"/>
  <c r="BG2" i="13" s="1"/>
  <c r="BH2" i="13" a="1"/>
  <c r="BH2" i="13" s="1"/>
  <c r="BI2" i="13" a="1"/>
  <c r="BI2" i="13" s="1"/>
  <c r="BJ2" i="13" a="1"/>
  <c r="BJ2" i="13" s="1"/>
  <c r="BK2" i="13" a="1"/>
  <c r="BK2" i="13" s="1"/>
  <c r="BL2" i="13" a="1"/>
  <c r="BL2" i="13" s="1"/>
  <c r="BM2" i="13" a="1"/>
  <c r="BM2" i="13" s="1"/>
  <c r="Y2" i="13" a="1"/>
  <c r="Y2" i="13" s="1"/>
  <c r="V2" i="13" a="1"/>
  <c r="V2" i="13" s="1"/>
  <c r="U2" i="13" a="1"/>
  <c r="U2" i="13" s="1"/>
  <c r="U1" i="13"/>
  <c r="D2" i="4" a="1"/>
  <c r="D2" i="4" s="1"/>
  <c r="N1" i="2"/>
  <c r="Y1" i="13" s="1"/>
  <c r="A6" i="13"/>
  <c r="A4" i="13"/>
  <c r="L1" i="2"/>
  <c r="X1" i="13" s="1"/>
  <c r="J1" i="2"/>
  <c r="W1" i="13" s="1"/>
  <c r="L4" i="13" l="1" a="1"/>
  <c r="L4" i="13" s="1"/>
  <c r="L6" i="13" a="1"/>
  <c r="L6" i="13" s="1"/>
  <c r="S12" i="13"/>
  <c r="R68" i="13"/>
  <c r="S26" i="13"/>
  <c r="S11" i="13"/>
  <c r="R67" i="13"/>
  <c r="Q72" i="13"/>
  <c r="Q58" i="13"/>
  <c r="Q57" i="13"/>
  <c r="Q43" i="13"/>
  <c r="Q42" i="13"/>
  <c r="R73" i="13"/>
  <c r="R50" i="13"/>
  <c r="Q25" i="13"/>
  <c r="R2" i="13"/>
  <c r="Q24" i="13"/>
  <c r="Q9" i="13"/>
  <c r="Q73" i="13"/>
  <c r="R49" i="13"/>
  <c r="Q10" i="13"/>
  <c r="S60" i="13"/>
  <c r="R35" i="13"/>
  <c r="S59" i="13"/>
  <c r="R34" i="13"/>
  <c r="S45" i="13"/>
  <c r="R20" i="13"/>
  <c r="S2" i="13"/>
  <c r="S44" i="13"/>
  <c r="R19" i="13"/>
  <c r="S27" i="13"/>
  <c r="S73" i="13"/>
  <c r="S58" i="13"/>
  <c r="S43" i="13"/>
  <c r="S25" i="13"/>
  <c r="S10" i="13"/>
  <c r="R66" i="13"/>
  <c r="R48" i="13"/>
  <c r="R33" i="13"/>
  <c r="R18" i="13"/>
  <c r="Q71" i="13"/>
  <c r="Q56" i="13"/>
  <c r="Q41" i="13"/>
  <c r="Q23" i="13"/>
  <c r="Q8" i="13"/>
  <c r="S57" i="13"/>
  <c r="S24" i="13"/>
  <c r="S9" i="13"/>
  <c r="R62" i="13"/>
  <c r="R47" i="13"/>
  <c r="R32" i="13"/>
  <c r="R14" i="13"/>
  <c r="Q70" i="13"/>
  <c r="Q55" i="13"/>
  <c r="Q37" i="13"/>
  <c r="Q22" i="13"/>
  <c r="Q7" i="13"/>
  <c r="S56" i="13"/>
  <c r="S23" i="13"/>
  <c r="R61" i="13"/>
  <c r="R46" i="13"/>
  <c r="Q69" i="13"/>
  <c r="Q6" i="13"/>
  <c r="S69" i="13"/>
  <c r="S51" i="13"/>
  <c r="S21" i="13"/>
  <c r="S3" i="13"/>
  <c r="R59" i="13"/>
  <c r="R44" i="13"/>
  <c r="R26" i="13"/>
  <c r="Q67" i="13"/>
  <c r="Q49" i="13"/>
  <c r="Q34" i="13"/>
  <c r="Q19" i="13"/>
  <c r="S68" i="13"/>
  <c r="S50" i="13"/>
  <c r="S35" i="13"/>
  <c r="S20" i="13"/>
  <c r="R58" i="13"/>
  <c r="R43" i="13"/>
  <c r="R25" i="13"/>
  <c r="R10" i="13"/>
  <c r="Q66" i="13"/>
  <c r="Q48" i="13"/>
  <c r="Q33" i="13"/>
  <c r="Q18" i="13"/>
  <c r="S49" i="13"/>
  <c r="S19" i="13"/>
  <c r="R42" i="13"/>
  <c r="R9" i="13"/>
  <c r="Q65" i="13"/>
  <c r="Q47" i="13"/>
  <c r="Q32" i="13"/>
  <c r="S63" i="13"/>
  <c r="S33" i="13"/>
  <c r="R56" i="13"/>
  <c r="R23" i="13"/>
  <c r="R8" i="13"/>
  <c r="Q61" i="13"/>
  <c r="Q46" i="13"/>
  <c r="Q31" i="13"/>
  <c r="S62" i="13"/>
  <c r="S47" i="13"/>
  <c r="S32" i="13"/>
  <c r="S14" i="13"/>
  <c r="R70" i="13"/>
  <c r="R55" i="13"/>
  <c r="R37" i="13"/>
  <c r="R22" i="13"/>
  <c r="R7" i="13"/>
  <c r="Q60" i="13"/>
  <c r="Q45" i="13"/>
  <c r="Q30" i="13"/>
  <c r="Q12" i="13"/>
  <c r="S72" i="13"/>
  <c r="S39" i="13"/>
  <c r="S71" i="13"/>
  <c r="S38" i="13"/>
  <c r="S8" i="13"/>
  <c r="R31" i="13"/>
  <c r="R13" i="13"/>
  <c r="Q54" i="13"/>
  <c r="Q36" i="13"/>
  <c r="Q21" i="13"/>
  <c r="S70" i="13"/>
  <c r="S55" i="13"/>
  <c r="S37" i="13"/>
  <c r="S22" i="13"/>
  <c r="S7" i="13"/>
  <c r="R60" i="13"/>
  <c r="R45" i="13"/>
  <c r="R30" i="13"/>
  <c r="R12" i="13"/>
  <c r="Q68" i="13"/>
  <c r="Q53" i="13"/>
  <c r="Q35" i="13"/>
  <c r="Q20" i="13"/>
  <c r="Q5" i="13"/>
  <c r="S36" i="13"/>
  <c r="R11" i="13"/>
  <c r="S67" i="13"/>
  <c r="S34" i="13"/>
  <c r="R72" i="13"/>
  <c r="R57" i="13"/>
  <c r="R24" i="13"/>
  <c r="Q17" i="13"/>
  <c r="S48" i="13"/>
  <c r="S15" i="13"/>
  <c r="R71" i="13"/>
  <c r="R38" i="13"/>
  <c r="Q13" i="13"/>
  <c r="S61" i="13"/>
  <c r="S46" i="13"/>
  <c r="S31" i="13"/>
  <c r="S13" i="13"/>
  <c r="R69" i="13"/>
  <c r="R54" i="13"/>
  <c r="R36" i="13"/>
  <c r="R21" i="13"/>
  <c r="R6" i="13"/>
  <c r="Q59" i="13"/>
  <c r="Q44" i="13"/>
  <c r="Q29" i="13"/>
  <c r="Q11" i="13"/>
  <c r="S66" i="13"/>
  <c r="S54" i="13"/>
  <c r="S42" i="13"/>
  <c r="S30" i="13"/>
  <c r="S18" i="13"/>
  <c r="S6" i="13"/>
  <c r="R65" i="13"/>
  <c r="R53" i="13"/>
  <c r="R41" i="13"/>
  <c r="R29" i="13"/>
  <c r="R17" i="13"/>
  <c r="R5" i="13"/>
  <c r="Q64" i="13"/>
  <c r="Q52" i="13"/>
  <c r="Q40" i="13"/>
  <c r="Q28" i="13"/>
  <c r="Q16" i="13"/>
  <c r="Q4" i="13"/>
  <c r="S65" i="13"/>
  <c r="S53" i="13"/>
  <c r="S41" i="13"/>
  <c r="S29" i="13"/>
  <c r="S17" i="13"/>
  <c r="S5" i="13"/>
  <c r="R64" i="13"/>
  <c r="R52" i="13"/>
  <c r="R40" i="13"/>
  <c r="R28" i="13"/>
  <c r="R16" i="13"/>
  <c r="R4" i="13"/>
  <c r="Q63" i="13"/>
  <c r="Q51" i="13"/>
  <c r="Q39" i="13"/>
  <c r="Q27" i="13"/>
  <c r="Q15" i="13"/>
  <c r="Q3" i="13"/>
  <c r="S64" i="13"/>
  <c r="S52" i="13"/>
  <c r="S40" i="13"/>
  <c r="S28" i="13"/>
  <c r="S16" i="13"/>
  <c r="S4" i="13"/>
  <c r="R63" i="13"/>
  <c r="R51" i="13"/>
  <c r="R39" i="13"/>
  <c r="R27" i="13"/>
  <c r="R15" i="13"/>
  <c r="R3" i="13"/>
  <c r="Q62" i="13"/>
  <c r="Q50" i="13"/>
  <c r="Q38" i="13"/>
  <c r="Q26" i="13"/>
  <c r="Q14" i="13"/>
  <c r="A3" i="13"/>
  <c r="L3" i="13" s="1" a="1"/>
  <c r="L3" i="13" s="1"/>
  <c r="A5" i="13"/>
  <c r="L5" i="13" s="1" a="1"/>
  <c r="L5" i="13" s="1"/>
  <c r="A2" i="13"/>
  <c r="L2" i="13" s="1" a="1"/>
  <c r="L2" i="13" s="1"/>
  <c r="G3" i="1"/>
  <c r="G4" i="1"/>
  <c r="G5" i="1"/>
  <c r="G6" i="1"/>
  <c r="G7" i="1"/>
  <c r="E9" i="2" s="1"/>
  <c r="G8" i="1"/>
  <c r="G9" i="1"/>
  <c r="E11" i="2" s="1"/>
  <c r="G10" i="1"/>
  <c r="E12" i="2" s="1"/>
  <c r="G11" i="1"/>
  <c r="E13" i="2" s="1"/>
  <c r="G12" i="1"/>
  <c r="E14" i="2" s="1"/>
  <c r="G13" i="1"/>
  <c r="E15" i="2" s="1"/>
  <c r="G14" i="1"/>
  <c r="E16" i="2" s="1"/>
  <c r="G15" i="1"/>
  <c r="E17" i="2" s="1"/>
  <c r="G16" i="1"/>
  <c r="E18" i="2" s="1"/>
  <c r="G17" i="1"/>
  <c r="E19" i="2" s="1"/>
  <c r="G18" i="1"/>
  <c r="E20" i="2" s="1"/>
  <c r="G19" i="1"/>
  <c r="E21" i="2" s="1"/>
  <c r="G20" i="1"/>
  <c r="E22" i="2" s="1"/>
  <c r="G21" i="1"/>
  <c r="E23" i="2" s="1"/>
  <c r="G22" i="1"/>
  <c r="E24" i="2" s="1"/>
  <c r="G23" i="1"/>
  <c r="E25" i="2" s="1"/>
  <c r="G24" i="1"/>
  <c r="E26" i="2" s="1"/>
  <c r="G25" i="1"/>
  <c r="E27" i="2" s="1"/>
  <c r="G26" i="1"/>
  <c r="E28" i="2" s="1"/>
  <c r="G27" i="1"/>
  <c r="E29" i="2" s="1"/>
  <c r="G28" i="1"/>
  <c r="E30" i="2" s="1"/>
  <c r="G29" i="1"/>
  <c r="E31" i="2" s="1"/>
  <c r="G30" i="1"/>
  <c r="E32" i="2" s="1"/>
  <c r="G31" i="1"/>
  <c r="E33" i="2" s="1"/>
  <c r="G32" i="1"/>
  <c r="E34" i="2" s="1"/>
  <c r="G33" i="1"/>
  <c r="E35" i="2" s="1"/>
  <c r="G34" i="1"/>
  <c r="E36" i="2" s="1"/>
  <c r="G35" i="1"/>
  <c r="E37" i="2" s="1"/>
  <c r="G36" i="1"/>
  <c r="E38" i="2" s="1"/>
  <c r="G37" i="1"/>
  <c r="E39" i="2" s="1"/>
  <c r="G38" i="1"/>
  <c r="E40" i="2" s="1"/>
  <c r="G39" i="1"/>
  <c r="E41" i="2" s="1"/>
  <c r="G40" i="1"/>
  <c r="E42" i="2" s="1"/>
  <c r="G41" i="1"/>
  <c r="E43" i="2" s="1"/>
  <c r="G42" i="1"/>
  <c r="E44" i="2" s="1"/>
  <c r="G43" i="1"/>
  <c r="E45" i="2" s="1"/>
  <c r="G44" i="1"/>
  <c r="E46" i="2" s="1"/>
  <c r="G45" i="1"/>
  <c r="E47" i="2" s="1"/>
  <c r="G46" i="1"/>
  <c r="E48" i="2" s="1"/>
  <c r="G47" i="1"/>
  <c r="E49" i="2" s="1"/>
  <c r="G48" i="1"/>
  <c r="E50" i="2" s="1"/>
  <c r="G49" i="1"/>
  <c r="E51" i="2" s="1"/>
  <c r="G50" i="1"/>
  <c r="E52" i="2" s="1"/>
  <c r="G51" i="1"/>
  <c r="E53" i="2" s="1"/>
  <c r="G52" i="1"/>
  <c r="E54" i="2" s="1"/>
  <c r="G53" i="1"/>
  <c r="E55" i="2" s="1"/>
  <c r="G54" i="1"/>
  <c r="E56" i="2" s="1"/>
  <c r="G55" i="1"/>
  <c r="E57" i="2" s="1"/>
  <c r="G56" i="1"/>
  <c r="E58" i="2" s="1"/>
  <c r="G57" i="1"/>
  <c r="E59" i="2" s="1"/>
  <c r="G58" i="1"/>
  <c r="E60" i="2" s="1"/>
  <c r="G59" i="1"/>
  <c r="E61" i="2" s="1"/>
  <c r="G60" i="1"/>
  <c r="E62" i="2" s="1"/>
  <c r="G61" i="1"/>
  <c r="E63" i="2" s="1"/>
  <c r="G62" i="1"/>
  <c r="E64" i="2" s="1"/>
  <c r="G63" i="1"/>
  <c r="E65" i="2" s="1"/>
  <c r="G64" i="1"/>
  <c r="E66" i="2" s="1"/>
  <c r="G65" i="1"/>
  <c r="E67" i="2" s="1"/>
  <c r="G66" i="1"/>
  <c r="E68" i="2" s="1"/>
  <c r="G67" i="1"/>
  <c r="E69" i="2" s="1"/>
  <c r="G68" i="1"/>
  <c r="E70" i="2" s="1"/>
  <c r="G69" i="1"/>
  <c r="E71" i="2" s="1"/>
  <c r="G70" i="1"/>
  <c r="E72" i="2" s="1"/>
  <c r="G71" i="1"/>
  <c r="E73" i="2" s="1"/>
  <c r="G72" i="1"/>
  <c r="E74" i="2" s="1"/>
  <c r="G73" i="1"/>
  <c r="E75" i="2" s="1"/>
  <c r="G2" i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78" i="1" a="1"/>
  <c r="E78" i="1" s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B114" i="1"/>
  <c r="B115" i="1"/>
  <c r="B90" i="1"/>
  <c r="B116" i="1"/>
  <c r="B102" i="1"/>
  <c r="B82" i="1"/>
  <c r="B86" i="1"/>
  <c r="B106" i="1"/>
  <c r="B83" i="1"/>
  <c r="B118" i="1"/>
  <c r="B119" i="1"/>
  <c r="B122" i="1"/>
  <c r="B94" i="1"/>
  <c r="B78" i="1"/>
  <c r="B95" i="1"/>
  <c r="B96" i="1"/>
  <c r="B103" i="1"/>
  <c r="B123" i="1"/>
  <c r="B110" i="1"/>
  <c r="B97" i="1"/>
  <c r="B124" i="1"/>
  <c r="B87" i="1"/>
  <c r="B104" i="1"/>
  <c r="B111" i="1"/>
  <c r="B98" i="1"/>
  <c r="B117" i="1"/>
  <c r="B79" i="1"/>
  <c r="B88" i="1"/>
  <c r="B99" i="1"/>
  <c r="B105" i="1"/>
  <c r="B112" i="1"/>
  <c r="B125" i="1"/>
  <c r="B91" i="1"/>
  <c r="B120" i="1"/>
  <c r="B84" i="1"/>
  <c r="B107" i="1"/>
  <c r="B89" i="1"/>
  <c r="B113" i="1"/>
  <c r="B80" i="1"/>
  <c r="B81" i="1"/>
  <c r="B108" i="1"/>
  <c r="B100" i="1"/>
  <c r="B85" i="1"/>
  <c r="B101" i="1"/>
  <c r="B92" i="1"/>
  <c r="B93" i="1"/>
  <c r="B109" i="1"/>
  <c r="B121" i="1"/>
  <c r="T54" i="13" l="1"/>
  <c r="T56" i="13"/>
  <c r="T60" i="13"/>
  <c r="T44" i="13"/>
  <c r="T12" i="13"/>
  <c r="T30" i="13"/>
  <c r="T31" i="13"/>
  <c r="T25" i="13"/>
  <c r="T59" i="13"/>
  <c r="T24" i="13"/>
  <c r="T45" i="13"/>
  <c r="T46" i="13"/>
  <c r="T36" i="13"/>
  <c r="T17" i="13"/>
  <c r="T61" i="13"/>
  <c r="T3" i="13"/>
  <c r="T34" i="13"/>
  <c r="T67" i="13"/>
  <c r="T43" i="13"/>
  <c r="T68" i="13"/>
  <c r="T51" i="13"/>
  <c r="T20" i="13"/>
  <c r="T71" i="13"/>
  <c r="T63" i="13"/>
  <c r="T35" i="13"/>
  <c r="T21" i="13"/>
  <c r="T14" i="13"/>
  <c r="T18" i="13"/>
  <c r="T28" i="13"/>
  <c r="T33" i="13"/>
  <c r="T48" i="13"/>
  <c r="T42" i="13"/>
  <c r="T50" i="13"/>
  <c r="T52" i="13"/>
  <c r="T62" i="13"/>
  <c r="T64" i="13"/>
  <c r="T57" i="13"/>
  <c r="T32" i="13"/>
  <c r="T7" i="13"/>
  <c r="T10" i="13"/>
  <c r="T58" i="13"/>
  <c r="T19" i="13"/>
  <c r="T26" i="13"/>
  <c r="T38" i="13"/>
  <c r="T40" i="13"/>
  <c r="T66" i="13"/>
  <c r="T15" i="13"/>
  <c r="T11" i="13"/>
  <c r="T47" i="13"/>
  <c r="T22" i="13"/>
  <c r="T23" i="13"/>
  <c r="T72" i="13"/>
  <c r="T39" i="13"/>
  <c r="T55" i="13"/>
  <c r="T9" i="13"/>
  <c r="T70" i="13"/>
  <c r="T53" i="13"/>
  <c r="T16" i="13"/>
  <c r="T69" i="13"/>
  <c r="T49" i="13"/>
  <c r="T27" i="13"/>
  <c r="T29" i="13"/>
  <c r="T13" i="13"/>
  <c r="T65" i="13"/>
  <c r="T37" i="13"/>
  <c r="T41" i="13"/>
  <c r="T73" i="13"/>
  <c r="E10" i="2"/>
  <c r="I10" i="2" s="1"/>
  <c r="T8" i="13"/>
  <c r="E8" i="2"/>
  <c r="T6" i="13"/>
  <c r="E7" i="2"/>
  <c r="T5" i="13"/>
  <c r="E6" i="2"/>
  <c r="T4" i="13"/>
  <c r="B5" i="13"/>
  <c r="B6" i="13"/>
  <c r="F6" i="13" a="1"/>
  <c r="F6" i="13" s="1"/>
  <c r="G6" i="13" s="1"/>
  <c r="B2" i="13"/>
  <c r="P2" i="4" s="1"/>
  <c r="B3" i="13"/>
  <c r="B4" i="13"/>
  <c r="Q2" i="13"/>
  <c r="T2" i="13" s="1"/>
  <c r="F2" i="13" a="1"/>
  <c r="F2" i="13" s="1"/>
  <c r="G2" i="13" s="1"/>
  <c r="F5" i="13" a="1"/>
  <c r="F5" i="13" s="1"/>
  <c r="G5" i="13" s="1"/>
  <c r="F4" i="13" a="1"/>
  <c r="F4" i="13" s="1"/>
  <c r="D78" i="1" a="1"/>
  <c r="D78" i="1" s="1"/>
  <c r="F3" i="13" a="1"/>
  <c r="F3" i="13" s="1"/>
  <c r="G3" i="13" s="1"/>
  <c r="M13" i="2"/>
  <c r="K13" i="2"/>
  <c r="O13" i="2"/>
  <c r="O12" i="2"/>
  <c r="M12" i="2"/>
  <c r="K12" i="2"/>
  <c r="O71" i="2"/>
  <c r="M71" i="2"/>
  <c r="K71" i="2"/>
  <c r="O59" i="2"/>
  <c r="K59" i="2"/>
  <c r="M59" i="2"/>
  <c r="O47" i="2"/>
  <c r="K47" i="2"/>
  <c r="M47" i="2"/>
  <c r="O35" i="2"/>
  <c r="M35" i="2"/>
  <c r="K35" i="2"/>
  <c r="O23" i="2"/>
  <c r="M23" i="2"/>
  <c r="K23" i="2"/>
  <c r="O11" i="2"/>
  <c r="K11" i="2"/>
  <c r="M11" i="2"/>
  <c r="K66" i="2"/>
  <c r="M66" i="2"/>
  <c r="O66" i="2"/>
  <c r="O30" i="2"/>
  <c r="K30" i="2"/>
  <c r="M30" i="2"/>
  <c r="O62" i="2"/>
  <c r="K62" i="2"/>
  <c r="M62" i="2"/>
  <c r="O14" i="2"/>
  <c r="K14" i="2"/>
  <c r="M14" i="2"/>
  <c r="O25" i="2"/>
  <c r="M25" i="2"/>
  <c r="K25" i="2"/>
  <c r="O72" i="2"/>
  <c r="M72" i="2"/>
  <c r="K72" i="2"/>
  <c r="O24" i="2"/>
  <c r="M24" i="2"/>
  <c r="K24" i="2"/>
  <c r="M70" i="2"/>
  <c r="O70" i="2"/>
  <c r="K70" i="2"/>
  <c r="O58" i="2"/>
  <c r="K58" i="2"/>
  <c r="M58" i="2"/>
  <c r="K46" i="2"/>
  <c r="O46" i="2"/>
  <c r="M46" i="2"/>
  <c r="M34" i="2"/>
  <c r="K34" i="2"/>
  <c r="O34" i="2"/>
  <c r="M22" i="2"/>
  <c r="O22" i="2"/>
  <c r="K22" i="2"/>
  <c r="M54" i="2"/>
  <c r="K54" i="2"/>
  <c r="O54" i="2"/>
  <c r="O6" i="2"/>
  <c r="K65" i="2"/>
  <c r="O65" i="2"/>
  <c r="M65" i="2"/>
  <c r="O29" i="2"/>
  <c r="K29" i="2"/>
  <c r="M29" i="2"/>
  <c r="K64" i="2"/>
  <c r="O64" i="2"/>
  <c r="M64" i="2"/>
  <c r="K28" i="2"/>
  <c r="O28" i="2"/>
  <c r="M28" i="2"/>
  <c r="M51" i="2"/>
  <c r="O51" i="2"/>
  <c r="K51" i="2"/>
  <c r="M39" i="2"/>
  <c r="O39" i="2"/>
  <c r="K39" i="2"/>
  <c r="O74" i="2"/>
  <c r="K74" i="2"/>
  <c r="M74" i="2"/>
  <c r="O26" i="2"/>
  <c r="K26" i="2"/>
  <c r="M26" i="2"/>
  <c r="O73" i="2"/>
  <c r="M73" i="2"/>
  <c r="K73" i="2"/>
  <c r="O37" i="2"/>
  <c r="M37" i="2"/>
  <c r="K37" i="2"/>
  <c r="O60" i="2"/>
  <c r="M60" i="2"/>
  <c r="K60" i="2"/>
  <c r="M69" i="2"/>
  <c r="K69" i="2"/>
  <c r="O69" i="2"/>
  <c r="K57" i="2"/>
  <c r="O57" i="2"/>
  <c r="M57" i="2"/>
  <c r="O45" i="2"/>
  <c r="K45" i="2"/>
  <c r="M45" i="2"/>
  <c r="K33" i="2"/>
  <c r="M33" i="2"/>
  <c r="O33" i="2"/>
  <c r="M21" i="2"/>
  <c r="K21" i="2"/>
  <c r="O21" i="2"/>
  <c r="G9" i="2"/>
  <c r="K9" i="2"/>
  <c r="O9" i="2"/>
  <c r="M9" i="2"/>
  <c r="M53" i="2"/>
  <c r="K53" i="2"/>
  <c r="O53" i="2"/>
  <c r="K17" i="2"/>
  <c r="M17" i="2"/>
  <c r="O17" i="2"/>
  <c r="K16" i="2"/>
  <c r="O16" i="2"/>
  <c r="M16" i="2"/>
  <c r="M63" i="2"/>
  <c r="K63" i="2"/>
  <c r="O63" i="2"/>
  <c r="M15" i="2"/>
  <c r="O15" i="2"/>
  <c r="K15" i="2"/>
  <c r="O50" i="2"/>
  <c r="K50" i="2"/>
  <c r="M50" i="2"/>
  <c r="O49" i="2"/>
  <c r="M49" i="2"/>
  <c r="K49" i="2"/>
  <c r="O48" i="2"/>
  <c r="M48" i="2"/>
  <c r="K48" i="2"/>
  <c r="O68" i="2"/>
  <c r="M68" i="2"/>
  <c r="K68" i="2"/>
  <c r="M56" i="2"/>
  <c r="K56" i="2"/>
  <c r="O56" i="2"/>
  <c r="O44" i="2"/>
  <c r="K44" i="2"/>
  <c r="M44" i="2"/>
  <c r="O32" i="2"/>
  <c r="K32" i="2"/>
  <c r="M32" i="2"/>
  <c r="M20" i="2"/>
  <c r="K20" i="2"/>
  <c r="O20" i="2"/>
  <c r="O42" i="2"/>
  <c r="M42" i="2"/>
  <c r="K42" i="2"/>
  <c r="K18" i="2"/>
  <c r="M18" i="2"/>
  <c r="O18" i="2"/>
  <c r="M41" i="2"/>
  <c r="O41" i="2"/>
  <c r="K41" i="2"/>
  <c r="K52" i="2"/>
  <c r="O52" i="2"/>
  <c r="M52" i="2"/>
  <c r="K40" i="2"/>
  <c r="M40" i="2"/>
  <c r="O40" i="2"/>
  <c r="M75" i="2"/>
  <c r="K75" i="2"/>
  <c r="O75" i="2"/>
  <c r="M27" i="2"/>
  <c r="K27" i="2"/>
  <c r="O27" i="2"/>
  <c r="O38" i="2"/>
  <c r="K38" i="2"/>
  <c r="M38" i="2"/>
  <c r="O61" i="2"/>
  <c r="M61" i="2"/>
  <c r="K61" i="2"/>
  <c r="O36" i="2"/>
  <c r="M36" i="2"/>
  <c r="K36" i="2"/>
  <c r="O67" i="2"/>
  <c r="M67" i="2"/>
  <c r="K67" i="2"/>
  <c r="M55" i="2"/>
  <c r="O55" i="2"/>
  <c r="K55" i="2"/>
  <c r="O43" i="2"/>
  <c r="K43" i="2"/>
  <c r="M43" i="2"/>
  <c r="O31" i="2"/>
  <c r="K31" i="2"/>
  <c r="M31" i="2"/>
  <c r="M19" i="2"/>
  <c r="K19" i="2"/>
  <c r="O19" i="2"/>
  <c r="I75" i="2"/>
  <c r="G75" i="2"/>
  <c r="G74" i="2"/>
  <c r="I74" i="2"/>
  <c r="G73" i="2"/>
  <c r="I73" i="2"/>
  <c r="I72" i="2"/>
  <c r="G72" i="2"/>
  <c r="I71" i="2"/>
  <c r="G71" i="2"/>
  <c r="I70" i="2"/>
  <c r="G70" i="2"/>
  <c r="I69" i="2"/>
  <c r="G69" i="2"/>
  <c r="I68" i="2"/>
  <c r="G68" i="2"/>
  <c r="I67" i="2"/>
  <c r="G67" i="2"/>
  <c r="I66" i="2"/>
  <c r="G66" i="2"/>
  <c r="I65" i="2"/>
  <c r="G65" i="2"/>
  <c r="I64" i="2"/>
  <c r="G64" i="2"/>
  <c r="I63" i="2"/>
  <c r="G63" i="2"/>
  <c r="G62" i="2"/>
  <c r="I62" i="2"/>
  <c r="G61" i="2"/>
  <c r="I61" i="2"/>
  <c r="I60" i="2"/>
  <c r="G60" i="2"/>
  <c r="I59" i="2"/>
  <c r="G59" i="2"/>
  <c r="I58" i="2"/>
  <c r="G58" i="2"/>
  <c r="I57" i="2"/>
  <c r="G57" i="2"/>
  <c r="I56" i="2"/>
  <c r="G56" i="2"/>
  <c r="I55" i="2"/>
  <c r="G55" i="2"/>
  <c r="G54" i="2"/>
  <c r="I54" i="2"/>
  <c r="I53" i="2"/>
  <c r="G53" i="2"/>
  <c r="I52" i="2"/>
  <c r="G52" i="2"/>
  <c r="I51" i="2"/>
  <c r="G51" i="2"/>
  <c r="G50" i="2"/>
  <c r="I50" i="2"/>
  <c r="G49" i="2"/>
  <c r="I49" i="2"/>
  <c r="I48" i="2"/>
  <c r="G48" i="2"/>
  <c r="I47" i="2"/>
  <c r="G47" i="2"/>
  <c r="I46" i="2"/>
  <c r="G46" i="2"/>
  <c r="I45" i="2"/>
  <c r="G45" i="2"/>
  <c r="I44" i="2"/>
  <c r="G44" i="2"/>
  <c r="G43" i="2"/>
  <c r="I43" i="2"/>
  <c r="I42" i="2"/>
  <c r="G42" i="2"/>
  <c r="I41" i="2"/>
  <c r="G41" i="2"/>
  <c r="I40" i="2"/>
  <c r="G40" i="2"/>
  <c r="I39" i="2"/>
  <c r="G39" i="2"/>
  <c r="G38" i="2"/>
  <c r="I38" i="2"/>
  <c r="G37" i="2"/>
  <c r="I37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G26" i="2"/>
  <c r="I26" i="2"/>
  <c r="G25" i="2"/>
  <c r="I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G14" i="2"/>
  <c r="I14" i="2"/>
  <c r="G13" i="2"/>
  <c r="I13" i="2"/>
  <c r="I12" i="2"/>
  <c r="G12" i="2"/>
  <c r="G11" i="2"/>
  <c r="I11" i="2"/>
  <c r="I9" i="2"/>
  <c r="I6" i="2"/>
  <c r="G6" i="2"/>
  <c r="E5" i="2"/>
  <c r="E4" i="2"/>
  <c r="D79" i="1" a="1"/>
  <c r="D79" i="1" s="1"/>
  <c r="D109" i="1" a="1"/>
  <c r="D109" i="1" s="1"/>
  <c r="D102" i="1" a="1"/>
  <c r="D102" i="1" s="1"/>
  <c r="D121" i="1" a="1"/>
  <c r="D121" i="1" s="1"/>
  <c r="D94" i="1" a="1"/>
  <c r="D94" i="1" s="1"/>
  <c r="D87" i="1" a="1"/>
  <c r="D87" i="1" s="1"/>
  <c r="D111" i="1" a="1"/>
  <c r="D111" i="1" s="1"/>
  <c r="D86" i="1" a="1"/>
  <c r="D86" i="1" s="1"/>
  <c r="D101" i="1" a="1"/>
  <c r="D101" i="1" s="1"/>
  <c r="D95" i="1" a="1"/>
  <c r="D95" i="1" s="1"/>
  <c r="D120" i="1" a="1"/>
  <c r="D120" i="1" s="1"/>
  <c r="D119" i="1" a="1"/>
  <c r="D119" i="1" s="1"/>
  <c r="D93" i="1" a="1"/>
  <c r="D93" i="1" s="1"/>
  <c r="D110" i="1" a="1"/>
  <c r="D110" i="1" s="1"/>
  <c r="D85" i="1" a="1"/>
  <c r="D85" i="1" s="1"/>
  <c r="D118" i="1" a="1"/>
  <c r="D118" i="1" s="1"/>
  <c r="D108" i="1" a="1"/>
  <c r="D108" i="1" s="1"/>
  <c r="D100" i="1" a="1"/>
  <c r="D100" i="1" s="1"/>
  <c r="D92" i="1" a="1"/>
  <c r="D92" i="1" s="1"/>
  <c r="D84" i="1" a="1"/>
  <c r="D84" i="1" s="1"/>
  <c r="D117" i="1" a="1"/>
  <c r="D117" i="1" s="1"/>
  <c r="D91" i="1" a="1"/>
  <c r="D91" i="1" s="1"/>
  <c r="D116" i="1" a="1"/>
  <c r="D116" i="1" s="1"/>
  <c r="D107" i="1" a="1"/>
  <c r="D107" i="1" s="1"/>
  <c r="D99" i="1" a="1"/>
  <c r="D99" i="1" s="1"/>
  <c r="D83" i="1" a="1"/>
  <c r="D83" i="1" s="1"/>
  <c r="D115" i="1" a="1"/>
  <c r="D115" i="1" s="1"/>
  <c r="D106" i="1" a="1"/>
  <c r="D106" i="1" s="1"/>
  <c r="D98" i="1" a="1"/>
  <c r="D98" i="1" s="1"/>
  <c r="D90" i="1" a="1"/>
  <c r="D90" i="1" s="1"/>
  <c r="D82" i="1" a="1"/>
  <c r="D82" i="1" s="1"/>
  <c r="D125" i="1" a="1"/>
  <c r="D125" i="1" s="1"/>
  <c r="D114" i="1" a="1"/>
  <c r="D114" i="1" s="1"/>
  <c r="D97" i="1" a="1"/>
  <c r="D97" i="1" s="1"/>
  <c r="D124" i="1" a="1"/>
  <c r="D124" i="1" s="1"/>
  <c r="D105" i="1" a="1"/>
  <c r="D105" i="1" s="1"/>
  <c r="D89" i="1" a="1"/>
  <c r="D89" i="1" s="1"/>
  <c r="D81" i="1" a="1"/>
  <c r="D81" i="1" s="1"/>
  <c r="D123" i="1" a="1"/>
  <c r="D123" i="1" s="1"/>
  <c r="D113" i="1" a="1"/>
  <c r="D113" i="1" s="1"/>
  <c r="D104" i="1" a="1"/>
  <c r="D104" i="1" s="1"/>
  <c r="D96" i="1" a="1"/>
  <c r="D96" i="1" s="1"/>
  <c r="D88" i="1" a="1"/>
  <c r="D88" i="1" s="1"/>
  <c r="D80" i="1" a="1"/>
  <c r="D80" i="1" s="1"/>
  <c r="D122" i="1" a="1"/>
  <c r="D122" i="1" s="1"/>
  <c r="D112" i="1" a="1"/>
  <c r="D112" i="1" s="1"/>
  <c r="D103" i="1" a="1"/>
  <c r="D103" i="1" s="1"/>
  <c r="H74" i="1"/>
  <c r="R2" i="4" s="1"/>
  <c r="K10" i="2" l="1"/>
  <c r="O10" i="2"/>
  <c r="M10" i="2"/>
  <c r="G10" i="2"/>
  <c r="Q2" i="4"/>
  <c r="O7" i="2"/>
  <c r="I8" i="2"/>
  <c r="O8" i="2"/>
  <c r="M8" i="2"/>
  <c r="G8" i="2"/>
  <c r="K8" i="2"/>
  <c r="M7" i="2"/>
  <c r="G7" i="2"/>
  <c r="M6" i="2"/>
  <c r="K6" i="2"/>
  <c r="I7" i="2"/>
  <c r="T74" i="13"/>
  <c r="K7" i="2"/>
  <c r="G4" i="13"/>
  <c r="M5" i="2"/>
  <c r="O5" i="2"/>
  <c r="K5" i="2"/>
  <c r="M4" i="2"/>
  <c r="O4" i="2"/>
  <c r="K4" i="2"/>
  <c r="G5" i="2"/>
  <c r="I5" i="2"/>
  <c r="I4" i="2"/>
  <c r="G4" i="2"/>
  <c r="K5" i="1" a="1"/>
  <c r="K5" i="1" s="1"/>
  <c r="K4" i="1" a="1"/>
  <c r="K4" i="1" s="1"/>
  <c r="K3" i="1" a="1"/>
  <c r="K3" i="1" s="1"/>
  <c r="K2" i="1" a="1"/>
  <c r="K2" i="1" s="1"/>
  <c r="O5" i="1" a="1"/>
  <c r="O5" i="1" s="1"/>
  <c r="O4" i="1" a="1"/>
  <c r="O4" i="1" s="1"/>
  <c r="O3" i="1" a="1"/>
  <c r="O3" i="1" s="1"/>
  <c r="O2" i="1" a="1"/>
  <c r="O2" i="1" s="1"/>
  <c r="N3" i="1" a="1"/>
  <c r="N3" i="1" s="1"/>
  <c r="N4" i="1" a="1"/>
  <c r="N4" i="1" s="1"/>
  <c r="N5" i="1" a="1"/>
  <c r="N5" i="1" s="1"/>
  <c r="N2" i="1" a="1"/>
  <c r="N2" i="1" s="1"/>
  <c r="S3" i="1" a="1"/>
  <c r="S3" i="1" s="1"/>
  <c r="S5" i="1" a="1"/>
  <c r="S5" i="1" s="1"/>
  <c r="S4" i="1" a="1"/>
  <c r="S4" i="1" s="1"/>
  <c r="S2" i="1" a="1"/>
  <c r="S2" i="1" s="1"/>
  <c r="Q3" i="1" a="1"/>
  <c r="Q3" i="1" s="1"/>
  <c r="Q5" i="1" a="1"/>
  <c r="Q5" i="1" s="1"/>
  <c r="Q4" i="1" a="1"/>
  <c r="Q4" i="1" s="1"/>
  <c r="Q2" i="1" a="1"/>
  <c r="Q2" i="1" s="1"/>
  <c r="T3" i="1" a="1"/>
  <c r="T3" i="1" s="1"/>
  <c r="T5" i="1" a="1"/>
  <c r="T5" i="1" s="1"/>
  <c r="T4" i="1" a="1"/>
  <c r="T4" i="1" s="1"/>
  <c r="T2" i="1" a="1"/>
  <c r="T2" i="1" s="1"/>
  <c r="R5" i="1" a="1"/>
  <c r="R5" i="1" s="1"/>
  <c r="R4" i="1" a="1"/>
  <c r="R4" i="1" s="1"/>
  <c r="R3" i="1" a="1"/>
  <c r="R3" i="1" s="1"/>
  <c r="R2" i="1" a="1"/>
  <c r="R2" i="1" s="1"/>
  <c r="J3" i="1" a="1"/>
  <c r="J3" i="1" s="1"/>
  <c r="J2" i="1" a="1"/>
  <c r="J2" i="1" s="1"/>
  <c r="J5" i="1" a="1"/>
  <c r="J5" i="1" s="1"/>
  <c r="J4" i="1" a="1"/>
  <c r="J4" i="1" s="1"/>
  <c r="U5" i="1" a="1"/>
  <c r="U5" i="1" s="1"/>
  <c r="U4" i="1" a="1"/>
  <c r="U4" i="1" s="1"/>
  <c r="U3" i="1" a="1"/>
  <c r="U3" i="1" s="1"/>
  <c r="U2" i="1" a="1"/>
  <c r="U2" i="1" s="1"/>
  <c r="L5" i="1" a="1"/>
  <c r="L5" i="1" s="1"/>
  <c r="L3" i="1" a="1"/>
  <c r="L3" i="1" s="1"/>
  <c r="L2" i="1" a="1"/>
  <c r="L2" i="1" s="1"/>
  <c r="L4" i="1" a="1"/>
  <c r="L4" i="1" s="1"/>
  <c r="M3" i="1" a="1"/>
  <c r="M3" i="1" s="1"/>
  <c r="M2" i="1" a="1"/>
  <c r="M2" i="1" s="1"/>
  <c r="M5" i="1" a="1"/>
  <c r="M5" i="1" s="1"/>
  <c r="M4" i="1" a="1"/>
  <c r="M4" i="1" s="1"/>
  <c r="P3" i="1" a="1"/>
  <c r="P3" i="1" s="1"/>
  <c r="P2" i="1" a="1"/>
  <c r="P2" i="1" s="1"/>
  <c r="P5" i="1" a="1"/>
  <c r="P5" i="1" s="1"/>
  <c r="P4" i="1" a="1"/>
  <c r="P4" i="1" s="1"/>
  <c r="O120" i="2" l="1"/>
  <c r="I120" i="2"/>
  <c r="M120" i="2"/>
  <c r="K120" i="2"/>
  <c r="O81" i="2"/>
  <c r="K81" i="2"/>
  <c r="I81" i="2"/>
  <c r="M81" i="2"/>
  <c r="O90" i="2"/>
  <c r="M90" i="2"/>
  <c r="K90" i="2"/>
  <c r="I90" i="2"/>
  <c r="O78" i="2"/>
  <c r="M78" i="2"/>
  <c r="K78" i="2"/>
  <c r="I78" i="2"/>
  <c r="G78" i="2"/>
  <c r="M109" i="2"/>
  <c r="O109" i="2"/>
  <c r="I109" i="2"/>
  <c r="K109" i="2"/>
  <c r="K100" i="2"/>
  <c r="O100" i="2"/>
  <c r="M100" i="2"/>
  <c r="I100" i="2"/>
  <c r="K123" i="2"/>
  <c r="I123" i="2"/>
  <c r="M123" i="2"/>
  <c r="O123" i="2"/>
  <c r="M93" i="2"/>
  <c r="K93" i="2"/>
  <c r="O93" i="2"/>
  <c r="I93" i="2"/>
  <c r="I91" i="2"/>
  <c r="O91" i="2"/>
  <c r="K91" i="2"/>
  <c r="M91" i="2"/>
  <c r="M79" i="2"/>
  <c r="O79" i="2"/>
  <c r="I79" i="2"/>
  <c r="K79" i="2"/>
  <c r="K107" i="2"/>
  <c r="O107" i="2"/>
  <c r="M107" i="2"/>
  <c r="I107" i="2"/>
  <c r="O101" i="2"/>
  <c r="M101" i="2"/>
  <c r="K101" i="2"/>
  <c r="I101" i="2"/>
  <c r="O82" i="2"/>
  <c r="M82" i="2"/>
  <c r="K82" i="2"/>
  <c r="I82" i="2"/>
  <c r="K122" i="2"/>
  <c r="I122" i="2"/>
  <c r="M122" i="2"/>
  <c r="O122" i="2"/>
  <c r="O80" i="2"/>
  <c r="I80" i="2"/>
  <c r="M80" i="2"/>
  <c r="K80" i="2"/>
  <c r="O99" i="2"/>
  <c r="M99" i="2"/>
  <c r="K99" i="2"/>
  <c r="I99" i="2"/>
  <c r="E114" i="2" a="1"/>
  <c r="E114" i="2" s="1"/>
  <c r="O114" i="2"/>
  <c r="M114" i="2"/>
  <c r="K114" i="2"/>
  <c r="I114" i="2"/>
  <c r="K86" i="2"/>
  <c r="O86" i="2"/>
  <c r="I86" i="2"/>
  <c r="M86" i="2"/>
  <c r="M111" i="2"/>
  <c r="O111" i="2"/>
  <c r="I111" i="2"/>
  <c r="K111" i="2"/>
  <c r="O116" i="2"/>
  <c r="K116" i="2"/>
  <c r="I116" i="2"/>
  <c r="M116" i="2"/>
  <c r="O83" i="2"/>
  <c r="I83" i="2"/>
  <c r="K83" i="2"/>
  <c r="M83" i="2"/>
  <c r="I104" i="2"/>
  <c r="K104" i="2"/>
  <c r="M104" i="2"/>
  <c r="O104" i="2"/>
  <c r="M92" i="2"/>
  <c r="O92" i="2"/>
  <c r="K92" i="2"/>
  <c r="I92" i="2"/>
  <c r="O108" i="2"/>
  <c r="M108" i="2"/>
  <c r="I108" i="2"/>
  <c r="K108" i="2"/>
  <c r="E110" i="2" a="1"/>
  <c r="E110" i="2" s="1"/>
  <c r="M110" i="2"/>
  <c r="O110" i="2"/>
  <c r="I110" i="2"/>
  <c r="K110" i="2"/>
  <c r="M112" i="2"/>
  <c r="O112" i="2"/>
  <c r="K112" i="2"/>
  <c r="I112" i="2"/>
  <c r="O117" i="2"/>
  <c r="I117" i="2"/>
  <c r="K117" i="2"/>
  <c r="M117" i="2"/>
  <c r="O84" i="2"/>
  <c r="K84" i="2"/>
  <c r="M84" i="2"/>
  <c r="I84" i="2"/>
  <c r="I105" i="2"/>
  <c r="K105" i="2"/>
  <c r="O105" i="2"/>
  <c r="M105" i="2"/>
  <c r="O106" i="2"/>
  <c r="M106" i="2"/>
  <c r="K106" i="2"/>
  <c r="I106" i="2"/>
  <c r="O88" i="2"/>
  <c r="M88" i="2"/>
  <c r="K88" i="2"/>
  <c r="I88" i="2"/>
  <c r="I87" i="2"/>
  <c r="K87" i="2"/>
  <c r="M87" i="2"/>
  <c r="O87" i="2"/>
  <c r="O89" i="2"/>
  <c r="M89" i="2"/>
  <c r="K89" i="2"/>
  <c r="I89" i="2"/>
  <c r="O113" i="2"/>
  <c r="M113" i="2"/>
  <c r="K113" i="2"/>
  <c r="I113" i="2"/>
  <c r="O115" i="2"/>
  <c r="M115" i="2"/>
  <c r="I115" i="2"/>
  <c r="K115" i="2"/>
  <c r="M85" i="2"/>
  <c r="O85" i="2"/>
  <c r="I85" i="2"/>
  <c r="K85" i="2"/>
  <c r="O94" i="2"/>
  <c r="M94" i="2"/>
  <c r="K94" i="2"/>
  <c r="I94" i="2"/>
  <c r="O97" i="2"/>
  <c r="K97" i="2"/>
  <c r="I97" i="2"/>
  <c r="M97" i="2"/>
  <c r="K96" i="2"/>
  <c r="I96" i="2"/>
  <c r="M96" i="2"/>
  <c r="O96" i="2"/>
  <c r="O118" i="2"/>
  <c r="M118" i="2"/>
  <c r="K118" i="2"/>
  <c r="I118" i="2"/>
  <c r="O102" i="2"/>
  <c r="M102" i="2"/>
  <c r="K102" i="2"/>
  <c r="I102" i="2"/>
  <c r="K124" i="2"/>
  <c r="M124" i="2"/>
  <c r="O124" i="2"/>
  <c r="I124" i="2"/>
  <c r="I121" i="2"/>
  <c r="K121" i="2"/>
  <c r="M121" i="2"/>
  <c r="O121" i="2"/>
  <c r="I103" i="2"/>
  <c r="M103" i="2"/>
  <c r="K103" i="2"/>
  <c r="O103" i="2"/>
  <c r="O125" i="2"/>
  <c r="M125" i="2"/>
  <c r="K125" i="2"/>
  <c r="I125" i="2"/>
  <c r="O119" i="2"/>
  <c r="I119" i="2"/>
  <c r="K119" i="2"/>
  <c r="M119" i="2"/>
  <c r="M95" i="2"/>
  <c r="K95" i="2"/>
  <c r="I95" i="2"/>
  <c r="O95" i="2"/>
  <c r="O98" i="2"/>
  <c r="M98" i="2"/>
  <c r="K98" i="2"/>
  <c r="I98" i="2"/>
  <c r="E122" i="2" a="1"/>
  <c r="E122" i="2" s="1"/>
  <c r="E118" i="2" a="1"/>
  <c r="E118" i="2" s="1"/>
  <c r="E94" i="2" a="1"/>
  <c r="E102" i="2" a="1"/>
  <c r="E102" i="2" s="1"/>
  <c r="E106" i="2" a="1"/>
  <c r="E106" i="2" s="1"/>
  <c r="E98" i="2" a="1"/>
  <c r="E90" i="2" a="1"/>
  <c r="E78" i="2" a="1"/>
  <c r="E82" i="2" a="1"/>
  <c r="E86" i="2" a="1"/>
  <c r="J3" i="2"/>
  <c r="F4" i="4" s="1"/>
  <c r="N3" i="2"/>
  <c r="F6" i="4" s="1"/>
  <c r="L3" i="2"/>
  <c r="F5" i="4" s="1"/>
  <c r="G122" i="2"/>
  <c r="G118" i="2"/>
  <c r="G105" i="2"/>
  <c r="G123" i="2"/>
  <c r="G97" i="2"/>
  <c r="G124" i="2"/>
  <c r="G121" i="2"/>
  <c r="G103" i="2"/>
  <c r="G125" i="2"/>
  <c r="G95" i="2"/>
  <c r="G80" i="2"/>
  <c r="G98" i="2"/>
  <c r="G93" i="2"/>
  <c r="G81" i="2"/>
  <c r="G99" i="2"/>
  <c r="G109" i="2"/>
  <c r="G91" i="2"/>
  <c r="G101" i="2"/>
  <c r="G110" i="2"/>
  <c r="G82" i="2"/>
  <c r="G86" i="2"/>
  <c r="G111" i="2"/>
  <c r="G116" i="2"/>
  <c r="G83" i="2"/>
  <c r="G104" i="2"/>
  <c r="G94" i="2"/>
  <c r="G120" i="2"/>
  <c r="G102" i="2"/>
  <c r="G96" i="2"/>
  <c r="G119" i="2"/>
  <c r="G92" i="2"/>
  <c r="G106" i="2"/>
  <c r="G108" i="2"/>
  <c r="G90" i="2"/>
  <c r="G100" i="2"/>
  <c r="G79" i="2"/>
  <c r="G88" i="2"/>
  <c r="G87" i="2"/>
  <c r="G112" i="2"/>
  <c r="G117" i="2"/>
  <c r="G84" i="2"/>
  <c r="G107" i="2"/>
  <c r="G114" i="2"/>
  <c r="G89" i="2"/>
  <c r="G113" i="2"/>
  <c r="G115" i="2"/>
  <c r="G85" i="2"/>
  <c r="H3" i="2"/>
  <c r="F3" i="4" s="1"/>
  <c r="F3" i="2"/>
  <c r="E53" i="13" l="1"/>
  <c r="E51" i="13"/>
  <c r="E52" i="13"/>
  <c r="E54" i="13"/>
  <c r="C57" i="13"/>
  <c r="C56" i="13"/>
  <c r="C58" i="13"/>
  <c r="C55" i="13"/>
  <c r="C82" i="13"/>
  <c r="C80" i="13"/>
  <c r="C79" i="13"/>
  <c r="C81" i="13"/>
  <c r="E56" i="13"/>
  <c r="E57" i="13"/>
  <c r="E58" i="13"/>
  <c r="E55" i="13"/>
  <c r="C76" i="13"/>
  <c r="C77" i="13"/>
  <c r="C78" i="13"/>
  <c r="C75" i="13"/>
  <c r="F85" i="13"/>
  <c r="F86" i="13"/>
  <c r="F84" i="13"/>
  <c r="F83" i="13"/>
  <c r="C88" i="13"/>
  <c r="C89" i="13"/>
  <c r="C90" i="13"/>
  <c r="C87" i="13"/>
  <c r="E44" i="13"/>
  <c r="E45" i="13"/>
  <c r="E46" i="13"/>
  <c r="E43" i="13"/>
  <c r="E72" i="13"/>
  <c r="E74" i="13"/>
  <c r="E71" i="13"/>
  <c r="E73" i="13"/>
  <c r="C73" i="13"/>
  <c r="C74" i="13"/>
  <c r="C71" i="13"/>
  <c r="C72" i="13"/>
  <c r="D72" i="13"/>
  <c r="D73" i="13"/>
  <c r="D74" i="13"/>
  <c r="D71" i="13"/>
  <c r="D84" i="13"/>
  <c r="D85" i="13"/>
  <c r="D86" i="13"/>
  <c r="D83" i="13"/>
  <c r="F64" i="13"/>
  <c r="F65" i="13"/>
  <c r="F66" i="13"/>
  <c r="F63" i="13"/>
  <c r="E90" i="13"/>
  <c r="E87" i="13"/>
  <c r="E89" i="13"/>
  <c r="E88" i="13"/>
  <c r="D48" i="13"/>
  <c r="D49" i="13"/>
  <c r="D47" i="13"/>
  <c r="D50" i="13"/>
  <c r="E63" i="13"/>
  <c r="E65" i="13"/>
  <c r="E64" i="13"/>
  <c r="E66" i="13"/>
  <c r="D70" i="13"/>
  <c r="D67" i="13"/>
  <c r="D68" i="13"/>
  <c r="D69" i="13"/>
  <c r="F61" i="13"/>
  <c r="F62" i="13"/>
  <c r="F60" i="13"/>
  <c r="F59" i="13"/>
  <c r="E68" i="13"/>
  <c r="E69" i="13"/>
  <c r="E70" i="13"/>
  <c r="E67" i="13"/>
  <c r="C64" i="13"/>
  <c r="C65" i="13"/>
  <c r="C66" i="13"/>
  <c r="C63" i="13"/>
  <c r="D78" i="13"/>
  <c r="D75" i="13"/>
  <c r="D76" i="13"/>
  <c r="D77" i="13"/>
  <c r="C52" i="13"/>
  <c r="C53" i="13"/>
  <c r="C54" i="13"/>
  <c r="C51" i="13"/>
  <c r="D57" i="13"/>
  <c r="D58" i="13"/>
  <c r="D55" i="13"/>
  <c r="D56" i="13"/>
  <c r="F81" i="13"/>
  <c r="F80" i="13"/>
  <c r="F82" i="13"/>
  <c r="F79" i="13"/>
  <c r="C67" i="13"/>
  <c r="C70" i="13"/>
  <c r="C68" i="13"/>
  <c r="C69" i="13"/>
  <c r="F73" i="13"/>
  <c r="F74" i="13"/>
  <c r="F72" i="13"/>
  <c r="F71" i="13"/>
  <c r="D88" i="13"/>
  <c r="D87" i="13"/>
  <c r="D89" i="13"/>
  <c r="D90" i="13"/>
  <c r="F56" i="13"/>
  <c r="F58" i="13"/>
  <c r="F55" i="13"/>
  <c r="F57" i="13"/>
  <c r="D45" i="13"/>
  <c r="D43" i="13"/>
  <c r="D46" i="13"/>
  <c r="D44" i="13"/>
  <c r="F49" i="13"/>
  <c r="F48" i="13"/>
  <c r="F47" i="13"/>
  <c r="F50" i="13"/>
  <c r="D60" i="13"/>
  <c r="D61" i="13"/>
  <c r="D62" i="13"/>
  <c r="D59" i="13"/>
  <c r="F88" i="13"/>
  <c r="F89" i="13"/>
  <c r="F90" i="13"/>
  <c r="F87" i="13"/>
  <c r="C49" i="13"/>
  <c r="C50" i="13"/>
  <c r="C48" i="13"/>
  <c r="C47" i="13"/>
  <c r="E50" i="13"/>
  <c r="E47" i="13"/>
  <c r="E48" i="13"/>
  <c r="E49" i="13"/>
  <c r="E85" i="13"/>
  <c r="E83" i="13"/>
  <c r="E84" i="13"/>
  <c r="E86" i="13"/>
  <c r="D65" i="13"/>
  <c r="D64" i="13"/>
  <c r="D66" i="13"/>
  <c r="D63" i="13"/>
  <c r="F69" i="13"/>
  <c r="F68" i="13"/>
  <c r="F70" i="13"/>
  <c r="F67" i="13"/>
  <c r="E80" i="13"/>
  <c r="E81" i="13"/>
  <c r="E82" i="13"/>
  <c r="E79" i="13"/>
  <c r="D81" i="13"/>
  <c r="D82" i="13"/>
  <c r="D79" i="13"/>
  <c r="D80" i="13"/>
  <c r="F76" i="13"/>
  <c r="F77" i="13"/>
  <c r="F78" i="13"/>
  <c r="F75" i="13"/>
  <c r="F52" i="13"/>
  <c r="F53" i="13"/>
  <c r="F54" i="13"/>
  <c r="F51" i="13"/>
  <c r="E62" i="13"/>
  <c r="E59" i="13"/>
  <c r="E60" i="13"/>
  <c r="E61" i="13"/>
  <c r="E78" i="13"/>
  <c r="E75" i="13"/>
  <c r="E77" i="13"/>
  <c r="E76" i="13"/>
  <c r="D51" i="13"/>
  <c r="D52" i="13"/>
  <c r="D54" i="13"/>
  <c r="D53" i="13"/>
  <c r="C59" i="13"/>
  <c r="C61" i="13"/>
  <c r="C62" i="13"/>
  <c r="C60" i="13"/>
  <c r="F44" i="13"/>
  <c r="F46" i="13"/>
  <c r="F45" i="13"/>
  <c r="F43" i="13"/>
  <c r="C83" i="13"/>
  <c r="C85" i="13"/>
  <c r="C84" i="13"/>
  <c r="C86" i="13"/>
  <c r="C46" i="13"/>
  <c r="C45" i="13"/>
  <c r="C44" i="13"/>
  <c r="C43" i="13"/>
  <c r="E90" i="2"/>
  <c r="E98" i="2"/>
  <c r="E82" i="2"/>
  <c r="E94" i="2"/>
  <c r="E78" i="2"/>
  <c r="E86" i="2"/>
  <c r="C3" i="13"/>
  <c r="F2" i="4"/>
  <c r="C6" i="13"/>
  <c r="C4" i="13"/>
  <c r="C5" i="13"/>
  <c r="K3" i="2"/>
  <c r="G4" i="4" s="1"/>
  <c r="H4" i="4" s="1"/>
  <c r="O3" i="2"/>
  <c r="G6" i="4" s="1"/>
  <c r="H6" i="4" s="1"/>
  <c r="M3" i="2"/>
  <c r="G5" i="4" s="1"/>
  <c r="H5" i="4" s="1"/>
  <c r="I3" i="2"/>
  <c r="G3" i="4" s="1"/>
  <c r="H3" i="4" s="1"/>
  <c r="G3" i="2"/>
  <c r="G2" i="4" s="1"/>
  <c r="C2" i="13" l="1"/>
  <c r="E2" i="13" s="1"/>
  <c r="M2" i="4" a="1"/>
  <c r="M2" i="4" s="1"/>
  <c r="N2" i="4" s="1"/>
  <c r="M4" i="4" a="1"/>
  <c r="M4" i="4" s="1"/>
  <c r="N4" i="4" s="1"/>
  <c r="M6" i="4" a="1"/>
  <c r="M6" i="4" s="1"/>
  <c r="N6" i="4" s="1"/>
  <c r="M3" i="4" a="1"/>
  <c r="M3" i="4" s="1"/>
  <c r="N3" i="4" s="1"/>
  <c r="M5" i="4" a="1"/>
  <c r="M5" i="4" s="1"/>
  <c r="N5" i="4" s="1"/>
  <c r="G44" i="13"/>
  <c r="G48" i="13"/>
  <c r="G62" i="13"/>
  <c r="I55" i="13"/>
  <c r="J55" i="13" s="1"/>
  <c r="I56" i="13"/>
  <c r="J56" i="13" s="1"/>
  <c r="G58" i="13"/>
  <c r="I54" i="13"/>
  <c r="J54" i="13" s="1"/>
  <c r="I81" i="13"/>
  <c r="J81" i="13" s="1"/>
  <c r="I90" i="13"/>
  <c r="J90" i="13" s="1"/>
  <c r="I74" i="13"/>
  <c r="J74" i="13" s="1"/>
  <c r="I72" i="13"/>
  <c r="J72" i="13" s="1"/>
  <c r="I45" i="13"/>
  <c r="J45" i="13" s="1"/>
  <c r="G57" i="13"/>
  <c r="I64" i="13"/>
  <c r="J64" i="13" s="1"/>
  <c r="I82" i="13"/>
  <c r="J82" i="13" s="1"/>
  <c r="I62" i="13"/>
  <c r="J62" i="13" s="1"/>
  <c r="I84" i="13"/>
  <c r="J84" i="13" s="1"/>
  <c r="I86" i="13"/>
  <c r="J86" i="13" s="1"/>
  <c r="G81" i="13"/>
  <c r="G85" i="13"/>
  <c r="G74" i="13"/>
  <c r="I78" i="13"/>
  <c r="J78" i="13" s="1"/>
  <c r="I57" i="13"/>
  <c r="J57" i="13" s="1"/>
  <c r="I60" i="13"/>
  <c r="J60" i="13" s="1"/>
  <c r="I69" i="13"/>
  <c r="J69" i="13" s="1"/>
  <c r="I66" i="13"/>
  <c r="J66" i="13" s="1"/>
  <c r="I46" i="13"/>
  <c r="J46" i="13" s="1"/>
  <c r="I70" i="13"/>
  <c r="J70" i="13" s="1"/>
  <c r="I47" i="13"/>
  <c r="J47" i="13" s="1"/>
  <c r="G47" i="13"/>
  <c r="G60" i="13"/>
  <c r="I79" i="13"/>
  <c r="J79" i="13" s="1"/>
  <c r="G79" i="13"/>
  <c r="I76" i="13"/>
  <c r="J76" i="13" s="1"/>
  <c r="I63" i="13"/>
  <c r="J63" i="13" s="1"/>
  <c r="G63" i="13"/>
  <c r="G66" i="13"/>
  <c r="I85" i="13"/>
  <c r="J85" i="13" s="1"/>
  <c r="I44" i="13"/>
  <c r="J44" i="13" s="1"/>
  <c r="G65" i="13"/>
  <c r="I68" i="13"/>
  <c r="J68" i="13" s="1"/>
  <c r="I89" i="13"/>
  <c r="J89" i="13" s="1"/>
  <c r="G73" i="13"/>
  <c r="G45" i="13"/>
  <c r="G77" i="13"/>
  <c r="G56" i="13"/>
  <c r="I61" i="13"/>
  <c r="J61" i="13" s="1"/>
  <c r="G78" i="13"/>
  <c r="G83" i="13"/>
  <c r="I83" i="13"/>
  <c r="J83" i="13" s="1"/>
  <c r="I52" i="13"/>
  <c r="J52" i="13" s="1"/>
  <c r="G76" i="13"/>
  <c r="I80" i="13"/>
  <c r="J80" i="13" s="1"/>
  <c r="G50" i="13"/>
  <c r="I59" i="13"/>
  <c r="J59" i="13" s="1"/>
  <c r="G59" i="13"/>
  <c r="G46" i="13"/>
  <c r="G69" i="13"/>
  <c r="I51" i="13"/>
  <c r="J51" i="13" s="1"/>
  <c r="G51" i="13"/>
  <c r="G72" i="13"/>
  <c r="I87" i="13"/>
  <c r="J87" i="13" s="1"/>
  <c r="G87" i="13"/>
  <c r="I43" i="13"/>
  <c r="J43" i="13" s="1"/>
  <c r="G43" i="13"/>
  <c r="I50" i="13"/>
  <c r="J50" i="13" s="1"/>
  <c r="I48" i="13"/>
  <c r="J48" i="13" s="1"/>
  <c r="I88" i="13"/>
  <c r="J88" i="13" s="1"/>
  <c r="G80" i="13"/>
  <c r="G86" i="13"/>
  <c r="I75" i="13"/>
  <c r="J75" i="13" s="1"/>
  <c r="G75" i="13"/>
  <c r="I58" i="13"/>
  <c r="J58" i="13" s="1"/>
  <c r="G68" i="13"/>
  <c r="G54" i="13"/>
  <c r="I71" i="13"/>
  <c r="J71" i="13" s="1"/>
  <c r="G71" i="13"/>
  <c r="G90" i="13"/>
  <c r="G52" i="13"/>
  <c r="I73" i="13"/>
  <c r="J73" i="13" s="1"/>
  <c r="G82" i="13"/>
  <c r="G55" i="13"/>
  <c r="I77" i="13"/>
  <c r="J77" i="13" s="1"/>
  <c r="I49" i="13"/>
  <c r="J49" i="13" s="1"/>
  <c r="G70" i="13"/>
  <c r="G53" i="13"/>
  <c r="G89" i="13"/>
  <c r="I53" i="13"/>
  <c r="J53" i="13" s="1"/>
  <c r="G61" i="13"/>
  <c r="G49" i="13"/>
  <c r="G84" i="13"/>
  <c r="I67" i="13"/>
  <c r="J67" i="13" s="1"/>
  <c r="G67" i="13"/>
  <c r="I65" i="13"/>
  <c r="J65" i="13" s="1"/>
  <c r="G64" i="13"/>
  <c r="G88" i="13"/>
  <c r="AY2" i="13" a="1"/>
  <c r="AY2" i="13" s="1"/>
  <c r="AX2" i="13" a="1"/>
  <c r="AX2" i="13" s="1"/>
  <c r="AZ2" i="13" a="1"/>
  <c r="AZ2" i="13" s="1"/>
  <c r="D3" i="13"/>
  <c r="E3" i="13"/>
  <c r="H2" i="4"/>
  <c r="D6" i="13"/>
  <c r="E6" i="13"/>
  <c r="E5" i="13"/>
  <c r="D5" i="13"/>
  <c r="E4" i="13"/>
  <c r="D4" i="13"/>
  <c r="K4" i="4" s="1"/>
  <c r="D2" i="13" l="1"/>
  <c r="K2" i="13" s="1"/>
  <c r="K6" i="13"/>
  <c r="K6" i="4"/>
  <c r="K5" i="13"/>
  <c r="K5" i="4"/>
  <c r="K3" i="13"/>
  <c r="K3" i="4"/>
  <c r="J42" i="13"/>
  <c r="AW2" i="13" a="1"/>
  <c r="AW2" i="13" s="1"/>
  <c r="K4" i="13"/>
  <c r="K2" i="4" l="1"/>
  <c r="H4" i="13" a="1"/>
  <c r="H4" i="13" s="1"/>
  <c r="H3" i="13" a="1"/>
  <c r="H3" i="13" s="1"/>
  <c r="H5" i="13" a="1"/>
  <c r="H5" i="13" s="1"/>
  <c r="I3" i="13" a="1"/>
  <c r="I3" i="13" s="1"/>
  <c r="J3" i="13" s="1"/>
  <c r="I4" i="13" a="1"/>
  <c r="I4" i="13" s="1"/>
  <c r="J4" i="13" s="1"/>
  <c r="I2" i="13" a="1"/>
  <c r="I2" i="13" s="1"/>
  <c r="J2" i="13" s="1"/>
  <c r="I5" i="13" a="1"/>
  <c r="I5" i="13" s="1"/>
  <c r="J5" i="13" s="1"/>
  <c r="H6" i="13" a="1"/>
  <c r="H6" i="13" s="1"/>
  <c r="I6" i="13" a="1"/>
  <c r="I6" i="13" s="1"/>
  <c r="J6" i="13" s="1"/>
  <c r="H2" i="13" a="1"/>
  <c r="H2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<sst xmlns="http://schemas.openxmlformats.org/spreadsheetml/2006/main" count="1972" uniqueCount="121">
  <si>
    <t>Date</t>
  </si>
  <si>
    <t>Group</t>
  </si>
  <si>
    <t>Home</t>
  </si>
  <si>
    <t>Away</t>
  </si>
  <si>
    <t>Score</t>
  </si>
  <si>
    <t>Result</t>
  </si>
  <si>
    <t>A</t>
  </si>
  <si>
    <t>Mexico</t>
  </si>
  <si>
    <t>South Africa</t>
  </si>
  <si>
    <t>South Korea</t>
  </si>
  <si>
    <t>Czechia</t>
  </si>
  <si>
    <t>B</t>
  </si>
  <si>
    <t>Canada</t>
  </si>
  <si>
    <t>Bosnia and Herzegovina</t>
  </si>
  <si>
    <t>Qatar</t>
  </si>
  <si>
    <t>Switzerland</t>
  </si>
  <si>
    <t>C</t>
  </si>
  <si>
    <t>Brazil</t>
  </si>
  <si>
    <t>Morocco</t>
  </si>
  <si>
    <t>Haiti</t>
  </si>
  <si>
    <t>Scotland</t>
  </si>
  <si>
    <t>D</t>
  </si>
  <si>
    <t>USA</t>
  </si>
  <si>
    <t>Paraguay</t>
  </si>
  <si>
    <t>Australia</t>
  </si>
  <si>
    <t>Türkiye</t>
  </si>
  <si>
    <t>E</t>
  </si>
  <si>
    <t>Germany</t>
  </si>
  <si>
    <t>Curaçao</t>
  </si>
  <si>
    <t>Côte d'Ivoire</t>
  </si>
  <si>
    <t>Ecuador</t>
  </si>
  <si>
    <t>F</t>
  </si>
  <si>
    <t>Netherlands</t>
  </si>
  <si>
    <t>Japan</t>
  </si>
  <si>
    <t>Sweden</t>
  </si>
  <si>
    <t>Tunisia</t>
  </si>
  <si>
    <t>G</t>
  </si>
  <si>
    <t>Belgium</t>
  </si>
  <si>
    <t>Egypt</t>
  </si>
  <si>
    <t>IR Iran</t>
  </si>
  <si>
    <t>New Zealand</t>
  </si>
  <si>
    <t>H</t>
  </si>
  <si>
    <t>Spain</t>
  </si>
  <si>
    <t>Cabo Verde</t>
  </si>
  <si>
    <t>Saudi Arabia</t>
  </si>
  <si>
    <t>Uruguay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</si>
  <si>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</si>
  <si>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</si>
  <si>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</si>
  <si>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</si>
  <si>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</si>
  <si>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</si>
  <si>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</si>
  <si>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</si>
  <si>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</si>
  <si>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</si>
  <si>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</si>
  <si>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</si>
  <si>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Congo DR</t>
  </si>
  <si>
    <t>Uzbekistan</t>
  </si>
  <si>
    <t>Colombia</t>
  </si>
  <si>
    <t>L</t>
  </si>
  <si>
    <t>England</t>
  </si>
  <si>
    <t>Croatia</t>
  </si>
  <si>
    <t>Ghana</t>
  </si>
  <si>
    <t>Panama</t>
  </si>
  <si>
    <t>Matthew O'Brien</t>
  </si>
  <si>
    <t>3rd</t>
  </si>
  <si>
    <t>4th</t>
  </si>
  <si>
    <t>5th</t>
  </si>
  <si>
    <t>1st</t>
  </si>
  <si>
    <t>2nd</t>
  </si>
  <si>
    <t>Team</t>
  </si>
  <si>
    <t>Points</t>
  </si>
  <si>
    <t>Goals</t>
  </si>
  <si>
    <t>Goal Difference</t>
  </si>
  <si>
    <t>Match Points</t>
  </si>
  <si>
    <t>Group Placement Points</t>
  </si>
  <si>
    <t>Total Points</t>
  </si>
  <si>
    <t>Rank</t>
  </si>
  <si>
    <t>Correct Predictions</t>
  </si>
  <si>
    <t>Accuracy %</t>
  </si>
  <si>
    <t>Player</t>
  </si>
  <si>
    <t>Points Per Match</t>
  </si>
  <si>
    <t>Consistency (StDev)</t>
  </si>
  <si>
    <t>Variance</t>
  </si>
  <si>
    <t>Z-Score</t>
  </si>
  <si>
    <t>Risk Rating</t>
  </si>
  <si>
    <t>Player Reliability Index</t>
  </si>
  <si>
    <t>Weight</t>
  </si>
  <si>
    <t>First Name</t>
  </si>
  <si>
    <t>Full Name</t>
  </si>
  <si>
    <t>Paid</t>
  </si>
  <si>
    <t>Tiebreaker</t>
  </si>
  <si>
    <t>X</t>
  </si>
  <si>
    <t>Bosnia &amp; Herzegovina</t>
  </si>
  <si>
    <t>Match</t>
  </si>
  <si>
    <t>maob6302@gmail.com</t>
  </si>
  <si>
    <t>Contrarian %</t>
  </si>
  <si>
    <t>Surname</t>
  </si>
  <si>
    <t>Matches Played</t>
  </si>
  <si>
    <t>Total</t>
  </si>
  <si>
    <t>Top Pick Table</t>
  </si>
  <si>
    <t>% correct</t>
  </si>
  <si>
    <t>Consensus Result</t>
  </si>
  <si>
    <t>emailaddress</t>
  </si>
  <si>
    <t>Name</t>
  </si>
  <si>
    <t>Accuracy</t>
  </si>
  <si>
    <t>Games Played</t>
  </si>
  <si>
    <t>Goals Scored</t>
  </si>
  <si>
    <t>Games Remaining</t>
  </si>
  <si>
    <t>Aaron Twiss</t>
  </si>
  <si>
    <t>Arion Aliu</t>
  </si>
  <si>
    <t>Jorge Lopez</t>
  </si>
  <si>
    <t>Aarontwiss5@gmail.com</t>
  </si>
  <si>
    <t>Rayan Zaibag</t>
  </si>
  <si>
    <t>jorgecamarena79@gmail.com</t>
  </si>
  <si>
    <t>arionaliu8@gmail.com</t>
  </si>
  <si>
    <t>rayanzaibag18@gmail.com</t>
  </si>
  <si>
    <t>Time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</si>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</sst>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2" fillId="11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6" fillId="16" borderId="0" xfId="0" applyFont="1" applyFill="1"/>
    <xf numFmtId="164" fontId="0" fillId="0" borderId="0" xfId="0" applyNumberFormat="1"/>
    <xf numFmtId="2" fontId="0" fillId="0" borderId="0" xfId="0" applyNumberFormat="1"/>
    <xf numFmtId="15" fontId="0" fillId="12" borderId="7" xfId="0" applyNumberFormat="1" applyFill="1" applyBorder="1"/>
    <xf numFmtId="0" fontId="2" fillId="11" borderId="7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15" fontId="0" fillId="12" borderId="2" xfId="0" applyNumberFormat="1" applyFill="1" applyBorder="1"/>
    <xf numFmtId="0" fontId="2" fillId="11" borderId="2" xfId="0" applyFont="1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15" fontId="0" fillId="12" borderId="6" xfId="0" applyNumberFormat="1" applyFill="1" applyBorder="1"/>
    <xf numFmtId="0" fontId="2" fillId="13" borderId="6" xfId="0" applyFont="1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9" fontId="0" fillId="0" borderId="0" xfId="1" applyFont="1"/>
    <xf numFmtId="0" fontId="0" fillId="0" borderId="2" xfId="0" applyBorder="1" applyAlignment="1">
      <alignment horizontal="center"/>
    </xf>
    <xf numFmtId="0" fontId="0" fillId="19" borderId="0" xfId="0" applyFill="1" applyAlignment="1">
      <alignment horizontal="center"/>
    </xf>
    <xf numFmtId="0" fontId="0" fillId="4" borderId="0" xfId="0" applyFill="1"/>
    <xf numFmtId="0" fontId="0" fillId="19" borderId="2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3" fillId="0" borderId="16" xfId="0" applyFont="1" applyBorder="1"/>
    <xf numFmtId="0" fontId="0" fillId="0" borderId="16" xfId="0" applyBorder="1"/>
    <xf numFmtId="0" fontId="2" fillId="7" borderId="16" xfId="0" applyFont="1" applyFill="1" applyBorder="1"/>
    <xf numFmtId="0" fontId="0" fillId="0" borderId="16" xfId="0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22" xfId="0" applyBorder="1"/>
    <xf numFmtId="15" fontId="0" fillId="12" borderId="17" xfId="0" applyNumberFormat="1" applyFill="1" applyBorder="1"/>
    <xf numFmtId="0" fontId="2" fillId="10" borderId="17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0" fillId="14" borderId="25" xfId="0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0" fillId="4" borderId="15" xfId="0" applyFill="1" applyBorder="1"/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" xfId="0" applyFont="1" applyBorder="1" applyAlignment="1">
      <alignment horizontal="center"/>
    </xf>
    <xf numFmtId="0" fontId="0" fillId="0" borderId="26" xfId="0" applyBorder="1"/>
    <xf numFmtId="0" fontId="0" fillId="0" borderId="2" xfId="0" applyBorder="1"/>
    <xf numFmtId="0" fontId="0" fillId="0" borderId="17" xfId="0" applyBorder="1"/>
    <xf numFmtId="0" fontId="0" fillId="0" borderId="27" xfId="0" applyBorder="1"/>
    <xf numFmtId="0" fontId="0" fillId="0" borderId="19" xfId="0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11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11" borderId="21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2" fillId="13" borderId="2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2" fillId="9" borderId="21" xfId="0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3" fillId="12" borderId="21" xfId="0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0" fontId="3" fillId="0" borderId="16" xfId="0" applyFont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2" fillId="9" borderId="28" xfId="0" applyFont="1" applyFill="1" applyBorder="1"/>
    <xf numFmtId="0" fontId="0" fillId="15" borderId="5" xfId="0" applyFill="1" applyBorder="1" applyAlignment="1" applyProtection="1">
      <alignment horizontal="center"/>
      <protection locked="0"/>
    </xf>
    <xf numFmtId="0" fontId="3" fillId="0" borderId="29" xfId="0" applyFont="1" applyBorder="1"/>
    <xf numFmtId="0" fontId="3" fillId="0" borderId="30" xfId="0" applyFont="1" applyBorder="1"/>
    <xf numFmtId="0" fontId="2" fillId="9" borderId="11" xfId="0" applyFont="1" applyFill="1" applyBorder="1"/>
    <xf numFmtId="0" fontId="2" fillId="9" borderId="31" xfId="0" applyFont="1" applyFill="1" applyBorder="1"/>
    <xf numFmtId="0" fontId="2" fillId="7" borderId="24" xfId="0" applyFont="1" applyFill="1" applyBorder="1"/>
    <xf numFmtId="0" fontId="2" fillId="7" borderId="22" xfId="0" applyFont="1" applyFill="1" applyBorder="1"/>
    <xf numFmtId="0" fontId="0" fillId="15" borderId="32" xfId="0" applyFill="1" applyBorder="1" applyAlignment="1" applyProtection="1">
      <alignment horizontal="center"/>
      <protection locked="0"/>
    </xf>
    <xf numFmtId="0" fontId="0" fillId="0" borderId="33" xfId="0" applyBorder="1"/>
    <xf numFmtId="0" fontId="0" fillId="15" borderId="34" xfId="0" applyFill="1" applyBorder="1" applyAlignment="1" applyProtection="1">
      <alignment horizontal="center"/>
      <protection locked="0"/>
    </xf>
    <xf numFmtId="0" fontId="0" fillId="0" borderId="35" xfId="0" applyBorder="1"/>
    <xf numFmtId="0" fontId="0" fillId="0" borderId="3" xfId="0" applyBorder="1"/>
    <xf numFmtId="0" fontId="0" fillId="0" borderId="24" xfId="0" applyBorder="1"/>
    <xf numFmtId="0" fontId="0" fillId="17" borderId="32" xfId="0" applyFill="1" applyBorder="1" applyAlignment="1" applyProtection="1">
      <alignment horizontal="center"/>
      <protection locked="0"/>
    </xf>
    <xf numFmtId="0" fontId="0" fillId="17" borderId="34" xfId="0" applyFill="1" applyBorder="1" applyAlignment="1" applyProtection="1">
      <alignment horizontal="center"/>
      <protection locked="0"/>
    </xf>
    <xf numFmtId="0" fontId="0" fillId="17" borderId="36" xfId="0" applyFill="1" applyBorder="1" applyAlignment="1" applyProtection="1">
      <alignment horizontal="center"/>
      <protection locked="0"/>
    </xf>
    <xf numFmtId="0" fontId="0" fillId="15" borderId="18" xfId="0" applyFill="1" applyBorder="1" applyAlignment="1" applyProtection="1">
      <alignment horizontal="center"/>
      <protection locked="0"/>
    </xf>
    <xf numFmtId="9" fontId="3" fillId="0" borderId="0" xfId="1" applyFont="1"/>
    <xf numFmtId="9" fontId="2" fillId="11" borderId="0" xfId="1" applyFont="1" applyFill="1"/>
    <xf numFmtId="0" fontId="2" fillId="11" borderId="0" xfId="0" applyFont="1" applyFill="1"/>
    <xf numFmtId="9" fontId="2" fillId="13" borderId="0" xfId="1" applyFont="1" applyFill="1"/>
    <xf numFmtId="0" fontId="2" fillId="13" borderId="0" xfId="0" applyFont="1" applyFill="1"/>
    <xf numFmtId="9" fontId="2" fillId="2" borderId="0" xfId="1" applyFont="1" applyFill="1"/>
    <xf numFmtId="0" fontId="2" fillId="2" borderId="0" xfId="0" applyFont="1" applyFill="1"/>
    <xf numFmtId="9" fontId="3" fillId="3" borderId="0" xfId="1" applyFont="1" applyFill="1"/>
    <xf numFmtId="0" fontId="3" fillId="3" borderId="0" xfId="0" applyFont="1" applyFill="1"/>
    <xf numFmtId="9" fontId="3" fillId="4" borderId="0" xfId="1" applyFont="1" applyFill="1"/>
    <xf numFmtId="0" fontId="3" fillId="4" borderId="0" xfId="0" applyFont="1" applyFill="1"/>
    <xf numFmtId="9" fontId="3" fillId="5" borderId="0" xfId="1" applyFont="1" applyFill="1"/>
    <xf numFmtId="0" fontId="3" fillId="5" borderId="0" xfId="0" applyFont="1" applyFill="1"/>
    <xf numFmtId="9" fontId="2" fillId="6" borderId="0" xfId="1" applyFont="1" applyFill="1"/>
    <xf numFmtId="0" fontId="2" fillId="6" borderId="0" xfId="0" applyFont="1" applyFill="1"/>
    <xf numFmtId="9" fontId="3" fillId="7" borderId="0" xfId="1" applyFont="1" applyFill="1"/>
    <xf numFmtId="0" fontId="3" fillId="7" borderId="0" xfId="0" applyFont="1" applyFill="1"/>
    <xf numFmtId="9" fontId="2" fillId="8" borderId="0" xfId="1" applyFont="1" applyFill="1"/>
    <xf numFmtId="0" fontId="2" fillId="8" borderId="0" xfId="0" applyFont="1" applyFill="1"/>
    <xf numFmtId="9" fontId="2" fillId="9" borderId="0" xfId="1" applyFont="1" applyFill="1"/>
    <xf numFmtId="0" fontId="2" fillId="9" borderId="0" xfId="0" applyFont="1" applyFill="1"/>
    <xf numFmtId="9" fontId="2" fillId="10" borderId="0" xfId="1" applyFont="1" applyFill="1"/>
    <xf numFmtId="0" fontId="2" fillId="10" borderId="0" xfId="0" applyFont="1" applyFill="1"/>
    <xf numFmtId="0" fontId="7" fillId="0" borderId="0" xfId="2"/>
    <xf numFmtId="0" fontId="0" fillId="18" borderId="1" xfId="0" applyFill="1" applyBorder="1" applyProtection="1">
      <protection locked="0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20" fontId="0" fillId="12" borderId="6" xfId="0" applyNumberFormat="1" applyFill="1" applyBorder="1"/>
    <xf numFmtId="20" fontId="0" fillId="12" borderId="2" xfId="0" applyNumberFormat="1" applyFill="1" applyBorder="1"/>
    <xf numFmtId="14" fontId="0" fillId="12" borderId="6" xfId="0" applyNumberFormat="1" applyFill="1" applyBorder="1"/>
    <xf numFmtId="0" fontId="4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00B0F0"/>
        </patternFill>
      </fill>
    </dxf>
    <dxf>
      <font>
        <color rgb="FFFFFFFF"/>
      </font>
      <fill>
        <patternFill patternType="solid">
          <fgColor indexed="64"/>
          <bgColor rgb="FF0070C0"/>
        </patternFill>
      </fill>
    </dxf>
    <dxf>
      <font>
        <color rgb="FFFFFFFF"/>
      </font>
      <fill>
        <patternFill patternType="solid">
          <fgColor indexed="64"/>
          <bgColor rgb="FF002060"/>
        </patternFill>
      </fill>
    </dxf>
    <dxf>
      <font>
        <color rgb="FFFFFFFF"/>
      </font>
      <fill>
        <patternFill patternType="solid">
          <fgColor indexed="64"/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7030A0"/>
        </patternFill>
      </fill>
    </dxf>
    <dxf>
      <font>
        <color rgb="FFFFFFFF"/>
      </font>
      <fill>
        <patternFill patternType="solid">
          <fgColor indexed="64"/>
          <bgColor rgb="FF002060"/>
        </patternFill>
      </fill>
    </dxf>
    <dxf>
      <font>
        <color rgb="FFFFFFFF"/>
      </font>
      <fill>
        <patternFill patternType="solid">
          <fgColor indexed="64"/>
          <bgColor rgb="FF0070C0"/>
        </patternFill>
      </fill>
    </dxf>
    <dxf>
      <font>
        <color rgb="FF000000"/>
      </font>
      <fill>
        <patternFill patternType="solid">
          <fgColor indexed="64"/>
          <bgColor rgb="FF00B0F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00B0F0"/>
        </patternFill>
      </fill>
    </dxf>
    <dxf>
      <font>
        <color rgb="FFFFFFFF"/>
      </font>
      <fill>
        <patternFill patternType="solid">
          <fgColor indexed="64"/>
          <bgColor rgb="FF0070C0"/>
        </patternFill>
      </fill>
    </dxf>
    <dxf>
      <font>
        <color rgb="FFFFFFFF"/>
      </font>
      <fill>
        <patternFill patternType="solid">
          <fgColor indexed="64"/>
          <bgColor rgb="FF002060"/>
        </patternFill>
      </fill>
    </dxf>
    <dxf>
      <font>
        <color rgb="FFFFFFFF"/>
      </font>
      <fill>
        <patternFill patternType="solid">
          <fgColor indexed="64"/>
          <bgColor rgb="FF7030A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7030A0"/>
        </patternFill>
      </fill>
    </dxf>
    <dxf>
      <font>
        <color rgb="FFFFFFFF"/>
      </font>
      <fill>
        <patternFill patternType="solid">
          <fgColor indexed="64"/>
          <bgColor rgb="FF002060"/>
        </patternFill>
      </fill>
    </dxf>
    <dxf>
      <font>
        <color rgb="FFFFFFFF"/>
      </font>
      <fill>
        <patternFill patternType="solid">
          <fgColor indexed="64"/>
          <bgColor rgb="FF0070C0"/>
        </patternFill>
      </fill>
    </dxf>
    <dxf>
      <font>
        <color rgb="FF000000"/>
      </font>
      <fill>
        <patternFill patternType="solid">
          <fgColor indexed="64"/>
          <bgColor rgb="FF00B0F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E4BC-9925-4433-95F9-9A897F8DF64B}">
  <dimension ref="A1:U125"/>
  <sheetViews>
    <sheetView tabSelected="1" workbookViewId="0">
      <selection activeCell="K13" sqref="K13"/>
    </sheetView>
  </sheetViews>
  <sheetFormatPr defaultRowHeight="15" x14ac:dyDescent="0.25"/>
  <cols>
    <col min="1" max="1" width="9.42578125" bestFit="1" customWidth="1"/>
    <col min="2" max="2" width="8.85546875" bestFit="1" customWidth="1"/>
    <col min="3" max="4" width="22.5703125" bestFit="1" customWidth="1"/>
    <col min="5" max="5" width="14.5703125" bestFit="1" customWidth="1"/>
    <col min="6" max="6" width="14.7109375" customWidth="1"/>
    <col min="7" max="7" width="9.42578125" bestFit="1" customWidth="1"/>
    <col min="8" max="8" width="8.42578125" bestFit="1" customWidth="1"/>
    <col min="9" max="9" width="6.5703125" bestFit="1" customWidth="1"/>
    <col min="10" max="10" width="11.5703125" bestFit="1" customWidth="1"/>
    <col min="11" max="11" width="22.5703125" bestFit="1" customWidth="1"/>
    <col min="12" max="12" width="8.7109375" bestFit="1" customWidth="1"/>
    <col min="13" max="13" width="9.28515625" bestFit="1" customWidth="1"/>
    <col min="14" max="14" width="11.7109375" bestFit="1" customWidth="1"/>
    <col min="15" max="15" width="11.85546875" bestFit="1" customWidth="1"/>
    <col min="16" max="16" width="12.42578125" bestFit="1" customWidth="1"/>
    <col min="17" max="17" width="12.28515625" bestFit="1" customWidth="1"/>
    <col min="18" max="18" width="7.85546875" bestFit="1" customWidth="1"/>
    <col min="19" max="19" width="9.42578125" bestFit="1" customWidth="1"/>
    <col min="20" max="20" width="10.7109375" bestFit="1" customWidth="1"/>
    <col min="21" max="21" width="8.42578125" bestFit="1" customWidth="1"/>
  </cols>
  <sheetData>
    <row r="1" spans="1:21" ht="21.7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165" t="s">
        <v>4</v>
      </c>
      <c r="F1" s="165"/>
      <c r="G1" s="3" t="s">
        <v>5</v>
      </c>
      <c r="H1" s="3" t="s">
        <v>74</v>
      </c>
      <c r="I1" s="16" t="s">
        <v>1</v>
      </c>
      <c r="J1" s="4" t="s">
        <v>6</v>
      </c>
      <c r="K1" s="5" t="s">
        <v>11</v>
      </c>
      <c r="L1" s="7" t="s">
        <v>16</v>
      </c>
      <c r="M1" s="6" t="s">
        <v>21</v>
      </c>
      <c r="N1" s="8" t="s">
        <v>26</v>
      </c>
      <c r="O1" s="9" t="s">
        <v>31</v>
      </c>
      <c r="P1" s="10" t="s">
        <v>36</v>
      </c>
      <c r="Q1" s="11" t="s">
        <v>41</v>
      </c>
      <c r="R1" s="12" t="s">
        <v>46</v>
      </c>
      <c r="S1" s="13" t="s">
        <v>51</v>
      </c>
      <c r="T1" s="14" t="s">
        <v>56</v>
      </c>
      <c r="U1" s="15" t="s">
        <v>61</v>
      </c>
    </row>
    <row r="2" spans="1:21" x14ac:dyDescent="0.25">
      <c r="A2" s="23">
        <v>46184</v>
      </c>
      <c r="B2" s="24" t="s">
        <v>6</v>
      </c>
      <c r="C2" s="25" t="s">
        <v>7</v>
      </c>
      <c r="D2" s="25" t="s">
        <v>8</v>
      </c>
      <c r="E2" s="52">
        <v>2</v>
      </c>
      <c r="F2" s="53">
        <v>0</v>
      </c>
      <c r="G2" s="61">
        <f>IF(OR(E2="",F2=""),"",IF(E2&gt;F2,1,IF(F2&gt;E2,2,"X")))</f>
        <v>1</v>
      </c>
      <c r="H2" s="2">
        <f>SUM(E2:F2)</f>
        <v>2</v>
      </c>
      <c r="I2" s="1" t="s">
        <v>70</v>
      </c>
      <c r="J2" t="str" cm="1">
        <f t="array" ref="J2">INDEX(_xlfn.SORTBY(_xlfn._xlws.FILTER($C$78:$E$125,$B$78:$B$125="A"),_xlfn._xlws.FILTER($D$78:$D$125,$B$78:$B$125="A"),-1,_xlfn._xlws.FILTER($E$78:$E$125,$B$78:$B$125="A"),-1),1,1)</f>
        <v>Mexico</v>
      </c>
      <c r="K2" t="str" cm="1">
        <f t="array" ref="K2">INDEX(_xlfn.SORTBY(_xlfn._xlws.FILTER($C$78:$E$125,$B$78:$B$125="B"),_xlfn._xlws.FILTER($D$78:$D$125,$B$78:$B$125="B"),-1,_xlfn._xlws.FILTER($E$78:$E$125,$B$78:$B$125="B"),-1),1,1)</f>
        <v>Bosnia and Herzegovina</v>
      </c>
      <c r="L2" t="str" cm="1">
        <f t="array" ref="L2">INDEX(_xlfn.SORTBY(_xlfn._xlws.FILTER($C$78:$E$125,$B$78:$B$125="C"),_xlfn._xlws.FILTER($D$78:$D$125,$B$78:$B$125="C"),-1,_xlfn._xlws.FILTER($E$78:$E$125,$B$78:$B$125="C"),-1),1,1)</f>
        <v>Brazil</v>
      </c>
      <c r="M2" t="str" cm="1">
        <f t="array" ref="M2">INDEX(_xlfn.SORTBY(_xlfn._xlws.FILTER($C$78:$E$125,$B$78:$B$125="D"),_xlfn._xlws.FILTER($D$78:$D$125,$B$78:$B$125="D"),-1,_xlfn._xlws.FILTER($E$78:$E$125,$B$78:$B$125="D"),-1),1,1)</f>
        <v>Australia</v>
      </c>
      <c r="N2" t="str" cm="1">
        <f t="array" ref="N2">INDEX(_xlfn.SORTBY(_xlfn._xlws.FILTER($C$78:$E$125,$B$78:$B$125="E"),_xlfn._xlws.FILTER($D$78:$D$125,$B$78:$B$125="E"),-1,_xlfn._xlws.FILTER($E$78:$E$125,$B$78:$B$125="E"),-1),1,1)</f>
        <v>Curaçao</v>
      </c>
      <c r="O2" t="str" cm="1">
        <f t="array" ref="O2">INDEX(_xlfn.SORTBY(_xlfn._xlws.FILTER($C$78:$E$125,$B$78:$B$125="F"),_xlfn._xlws.FILTER($D$78:$D$125,$B$78:$B$125="F"),-1,_xlfn._xlws.FILTER($E$78:$E$125,$B$78:$B$125="F"),-1),1,1)</f>
        <v>Japan</v>
      </c>
      <c r="P2" t="str" cm="1">
        <f t="array" ref="P2">INDEX(_xlfn.SORTBY(_xlfn._xlws.FILTER($C$78:$E$125,$B$78:$B$125="G"),_xlfn._xlws.FILTER($D$78:$D$125,$B$78:$B$125="G"),-1,_xlfn._xlws.FILTER($E$78:$E$125,$B$78:$B$125="G"),-1),1,1)</f>
        <v>Belgium</v>
      </c>
      <c r="Q2" t="str" cm="1">
        <f t="array" ref="Q2">INDEX(_xlfn.SORTBY(_xlfn._xlws.FILTER($C$78:$E$125,$B$78:$B$125="H"),_xlfn._xlws.FILTER($D$78:$D$125,$B$78:$B$125="H"),-1,_xlfn._xlws.FILTER($E$78:$E$125,$B$78:$B$125="H"),-1),1,1)</f>
        <v>Cabo Verde</v>
      </c>
      <c r="R2" t="str" cm="1">
        <f t="array" ref="R2">INDEX(_xlfn.SORTBY(_xlfn._xlws.FILTER($C$78:$E$125,$B$78:$B$125="I"),_xlfn._xlws.FILTER($D$78:$D$125,$B$78:$B$125="I"),-1,_xlfn._xlws.FILTER($E$78:$E$125,$B$78:$B$125="I"),-1),1,1)</f>
        <v>France</v>
      </c>
      <c r="S2" t="str" cm="1">
        <f t="array" ref="S2">INDEX(_xlfn.SORTBY(_xlfn._xlws.FILTER($C$78:$E$125,$B$78:$B$125="J"),_xlfn._xlws.FILTER($D$78:$D$125,$B$78:$B$125="J"),-1,_xlfn._xlws.FILTER($E$78:$E$125,$B$78:$B$125="J"),-1),1,1)</f>
        <v>Algeria</v>
      </c>
      <c r="T2" t="str" cm="1">
        <f t="array" ref="T2">INDEX(_xlfn.SORTBY(_xlfn._xlws.FILTER($C$78:$E$125,$B$78:$B$125="K"),_xlfn._xlws.FILTER($D$78:$D$125,$B$78:$B$125="K"),-1,_xlfn._xlws.FILTER($E$78:$E$125,$B$78:$B$125="K"),-1),1,1)</f>
        <v>Colombia</v>
      </c>
      <c r="U2" t="str" cm="1">
        <f t="array" ref="U2">INDEX(_xlfn.SORTBY(_xlfn._xlws.FILTER($C$78:$E$125,$B$78:$B$125="L"),_xlfn._xlws.FILTER($D$78:$D$125,$B$78:$B$125="L"),-1,_xlfn._xlws.FILTER($E$78:$E$125,$B$78:$B$125="L"),-1),1,1)</f>
        <v>Croatia</v>
      </c>
    </row>
    <row r="3" spans="1:21" x14ac:dyDescent="0.25">
      <c r="A3" s="26">
        <v>46185</v>
      </c>
      <c r="B3" s="27" t="s">
        <v>6</v>
      </c>
      <c r="C3" s="28" t="s">
        <v>9</v>
      </c>
      <c r="D3" s="28" t="s">
        <v>10</v>
      </c>
      <c r="E3" s="18">
        <v>2</v>
      </c>
      <c r="F3" s="19">
        <v>1</v>
      </c>
      <c r="G3" s="58">
        <f t="shared" ref="G3:G66" si="0">IF(OR(E3="",F3=""),"",IF(E3&gt;F3,1,IF(F3&gt;E3,2,"X")))</f>
        <v>1</v>
      </c>
      <c r="H3">
        <f t="shared" ref="H3:H66" si="1">SUM(E3:F3)</f>
        <v>3</v>
      </c>
      <c r="I3" s="1" t="s">
        <v>71</v>
      </c>
      <c r="J3" t="str" cm="1">
        <f t="array" ref="J3">INDEX(_xlfn.SORTBY(_xlfn._xlws.FILTER($C$78:$E$125,$B$78:$B$125="A"),_xlfn._xlws.FILTER($D$78:$D$125,$B$78:$B$125="A"),-1,_xlfn._xlws.FILTER($E$78:$E$125,$B$78:$B$125="A"),-1),2,1)</f>
        <v>South Korea</v>
      </c>
      <c r="K3" t="str" cm="1">
        <f t="array" ref="K3">INDEX(_xlfn.SORTBY(_xlfn._xlws.FILTER($C$78:$E$125,$B$78:$B$125="B"),_xlfn._xlws.FILTER($D$78:$D$125,$B$78:$B$125="B"),-1,_xlfn._xlws.FILTER($E$78:$E$125,$B$78:$B$125="B"),-1),2,1)</f>
        <v>Canada</v>
      </c>
      <c r="L3" t="str" cm="1">
        <f t="array" ref="L3">INDEX(_xlfn.SORTBY(_xlfn._xlws.FILTER($C$78:$E$125,$B$78:$B$125="C"),_xlfn._xlws.FILTER($D$78:$D$125,$B$78:$B$125="C"),-1,_xlfn._xlws.FILTER($E$78:$E$125,$B$78:$B$125="C"),-1),2,1)</f>
        <v>Haiti</v>
      </c>
      <c r="M3" t="str" cm="1">
        <f t="array" ref="M3">INDEX(_xlfn.SORTBY(_xlfn._xlws.FILTER($C$78:$E$125,$B$78:$B$125="D"),_xlfn._xlws.FILTER($D$78:$D$125,$B$78:$B$125="D"),-1,_xlfn._xlws.FILTER($E$78:$E$125,$B$78:$B$125="D"),-1),2,1)</f>
        <v>Paraguay</v>
      </c>
      <c r="N3" t="str" cm="1">
        <f t="array" ref="N3">INDEX(_xlfn.SORTBY(_xlfn._xlws.FILTER($C$78:$E$125,$B$78:$B$125="E"),_xlfn._xlws.FILTER($D$78:$D$125,$B$78:$B$125="E"),-1,_xlfn._xlws.FILTER($E$78:$E$125,$B$78:$B$125="E"),-1),2,1)</f>
        <v>Côte d'Ivoire</v>
      </c>
      <c r="O3" t="str" cm="1">
        <f t="array" ref="O3">INDEX(_xlfn.SORTBY(_xlfn._xlws.FILTER($C$78:$E$125,$B$78:$B$125="F"),_xlfn._xlws.FILTER($D$78:$D$125,$B$78:$B$125="F"),-1,_xlfn._xlws.FILTER($E$78:$E$125,$B$78:$B$125="F"),-1),2,1)</f>
        <v>Netherlands</v>
      </c>
      <c r="P3" t="str" cm="1">
        <f t="array" ref="P3">INDEX(_xlfn.SORTBY(_xlfn._xlws.FILTER($C$78:$E$125,$B$78:$B$125="G"),_xlfn._xlws.FILTER($D$78:$D$125,$B$78:$B$125="G"),-1,_xlfn._xlws.FILTER($E$78:$E$125,$B$78:$B$125="G"),-1),2,1)</f>
        <v>Egypt</v>
      </c>
      <c r="Q3" t="str" cm="1">
        <f t="array" ref="Q3">INDEX(_xlfn.SORTBY(_xlfn._xlws.FILTER($C$78:$E$125,$B$78:$B$125="H"),_xlfn._xlws.FILTER($D$78:$D$125,$B$78:$B$125="H"),-1,_xlfn._xlws.FILTER($E$78:$E$125,$B$78:$B$125="H"),-1),2,1)</f>
        <v>Saudi Arabia</v>
      </c>
      <c r="R3" t="str" cm="1">
        <f t="array" ref="R3">INDEX(_xlfn.SORTBY(_xlfn._xlws.FILTER($C$78:$E$125,$B$78:$B$125="I"),_xlfn._xlws.FILTER($D$78:$D$125,$B$78:$B$125="I"),-1,_xlfn._xlws.FILTER($E$78:$E$125,$B$78:$B$125="I"),-1),2,1)</f>
        <v>Iraq</v>
      </c>
      <c r="S3" t="str" cm="1">
        <f t="array" ref="S3">INDEX(_xlfn.SORTBY(_xlfn._xlws.FILTER($C$78:$E$125,$B$78:$B$125="J"),_xlfn._xlws.FILTER($D$78:$D$125,$B$78:$B$125="J"),-1,_xlfn._xlws.FILTER($E$78:$E$125,$B$78:$B$125="J"),-1),2,1)</f>
        <v>Argentina</v>
      </c>
      <c r="T3" t="str" cm="1">
        <f t="array" ref="T3">INDEX(_xlfn.SORTBY(_xlfn._xlws.FILTER($C$78:$E$125,$B$78:$B$125="K"),_xlfn._xlws.FILTER($D$78:$D$125,$B$78:$B$125="K"),-1,_xlfn._xlws.FILTER($E$78:$E$125,$B$78:$B$125="K"),-1),2,1)</f>
        <v>Congo DR</v>
      </c>
      <c r="U3" t="str" cm="1">
        <f t="array" ref="U3">INDEX(_xlfn.SORTBY(_xlfn._xlws.FILTER($C$78:$E$125,$B$78:$B$125="L"),_xlfn._xlws.FILTER($D$78:$D$125,$B$78:$B$125="L"),-1,_xlfn._xlws.FILTER($E$78:$E$125,$B$78:$B$125="L"),-1),2,1)</f>
        <v>England</v>
      </c>
    </row>
    <row r="4" spans="1:21" x14ac:dyDescent="0.25">
      <c r="A4" s="29">
        <v>46185</v>
      </c>
      <c r="B4" s="30" t="s">
        <v>11</v>
      </c>
      <c r="C4" s="31" t="s">
        <v>12</v>
      </c>
      <c r="D4" s="31" t="s">
        <v>13</v>
      </c>
      <c r="E4" s="54">
        <v>1</v>
      </c>
      <c r="F4" s="55">
        <v>1</v>
      </c>
      <c r="G4" s="61" t="str">
        <f t="shared" si="0"/>
        <v>X</v>
      </c>
      <c r="H4" s="2">
        <f t="shared" si="1"/>
        <v>2</v>
      </c>
      <c r="I4" s="1" t="s">
        <v>67</v>
      </c>
      <c r="J4" t="str" cm="1">
        <f t="array" ref="J4">INDEX(_xlfn.SORTBY(_xlfn._xlws.FILTER($C$78:$E$125,$B$78:$B$125="A"),_xlfn._xlws.FILTER($D$78:$D$125,$B$78:$B$125="A"),-1,_xlfn._xlws.FILTER($E$78:$E$125,$B$78:$B$125="A"),-1),3,1)</f>
        <v>Czechia</v>
      </c>
      <c r="K4" t="str" cm="1">
        <f t="array" ref="K4">INDEX(_xlfn.SORTBY(_xlfn._xlws.FILTER($C$78:$E$125,$B$78:$B$125="B"),_xlfn._xlws.FILTER($D$78:$D$125,$B$78:$B$125="B"),-1,_xlfn._xlws.FILTER($E$78:$E$125,$B$78:$B$125="B"),-1),3,1)</f>
        <v>Qatar</v>
      </c>
      <c r="L4" t="str" cm="1">
        <f t="array" ref="L4">INDEX(_xlfn.SORTBY(_xlfn._xlws.FILTER($C$78:$E$125,$B$78:$B$125="C"),_xlfn._xlws.FILTER($D$78:$D$125,$B$78:$B$125="C"),-1,_xlfn._xlws.FILTER($E$78:$E$125,$B$78:$B$125="C"),-1),3,1)</f>
        <v>Morocco</v>
      </c>
      <c r="M4" t="str" cm="1">
        <f t="array" ref="M4">INDEX(_xlfn.SORTBY(_xlfn._xlws.FILTER($C$78:$E$125,$B$78:$B$125="D"),_xlfn._xlws.FILTER($D$78:$D$125,$B$78:$B$125="D"),-1,_xlfn._xlws.FILTER($E$78:$E$125,$B$78:$B$125="D"),-1),3,1)</f>
        <v>Türkiye</v>
      </c>
      <c r="N4" t="str" cm="1">
        <f t="array" ref="N4">INDEX(_xlfn.SORTBY(_xlfn._xlws.FILTER($C$78:$E$125,$B$78:$B$125="E"),_xlfn._xlws.FILTER($D$78:$D$125,$B$78:$B$125="E"),-1,_xlfn._xlws.FILTER($E$78:$E$125,$B$78:$B$125="E"),-1),3,1)</f>
        <v>Ecuador</v>
      </c>
      <c r="O4" t="str" cm="1">
        <f t="array" ref="O4">INDEX(_xlfn.SORTBY(_xlfn._xlws.FILTER($C$78:$E$125,$B$78:$B$125="F"),_xlfn._xlws.FILTER($D$78:$D$125,$B$78:$B$125="F"),-1,_xlfn._xlws.FILTER($E$78:$E$125,$B$78:$B$125="F"),-1),3,1)</f>
        <v>Sweden</v>
      </c>
      <c r="P4" t="str" cm="1">
        <f t="array" ref="P4">INDEX(_xlfn.SORTBY(_xlfn._xlws.FILTER($C$78:$E$125,$B$78:$B$125="G"),_xlfn._xlws.FILTER($D$78:$D$125,$B$78:$B$125="G"),-1,_xlfn._xlws.FILTER($E$78:$E$125,$B$78:$B$125="G"),-1),3,1)</f>
        <v>IR Iran</v>
      </c>
      <c r="Q4" t="str" cm="1">
        <f t="array" ref="Q4">INDEX(_xlfn.SORTBY(_xlfn._xlws.FILTER($C$78:$E$125,$B$78:$B$125="H"),_xlfn._xlws.FILTER($D$78:$D$125,$B$78:$B$125="H"),-1,_xlfn._xlws.FILTER($E$78:$E$125,$B$78:$B$125="H"),-1),3,1)</f>
        <v>Spain</v>
      </c>
      <c r="R4" t="str" cm="1">
        <f t="array" ref="R4">INDEX(_xlfn.SORTBY(_xlfn._xlws.FILTER($C$78:$E$125,$B$78:$B$125="I"),_xlfn._xlws.FILTER($D$78:$D$125,$B$78:$B$125="I"),-1,_xlfn._xlws.FILTER($E$78:$E$125,$B$78:$B$125="I"),-1),3,1)</f>
        <v>Norway</v>
      </c>
      <c r="S4" t="str" cm="1">
        <f t="array" ref="S4">INDEX(_xlfn.SORTBY(_xlfn._xlws.FILTER($C$78:$E$125,$B$78:$B$125="J"),_xlfn._xlws.FILTER($D$78:$D$125,$B$78:$B$125="J"),-1,_xlfn._xlws.FILTER($E$78:$E$125,$B$78:$B$125="J"),-1),3,1)</f>
        <v>Austria</v>
      </c>
      <c r="T4" t="str" cm="1">
        <f t="array" ref="T4">INDEX(_xlfn.SORTBY(_xlfn._xlws.FILTER($C$78:$E$125,$B$78:$B$125="K"),_xlfn._xlws.FILTER($D$78:$D$125,$B$78:$B$125="K"),-1,_xlfn._xlws.FILTER($E$78:$E$125,$B$78:$B$125="K"),-1),3,1)</f>
        <v>Portugal</v>
      </c>
      <c r="U4" t="str" cm="1">
        <f t="array" ref="U4">INDEX(_xlfn.SORTBY(_xlfn._xlws.FILTER($C$78:$E$125,$B$78:$B$125="L"),_xlfn._xlws.FILTER($D$78:$D$125,$B$78:$B$125="L"),-1,_xlfn._xlws.FILTER($E$78:$E$125,$B$78:$B$125="L"),-1),3,1)</f>
        <v>Ghana</v>
      </c>
    </row>
    <row r="5" spans="1:21" x14ac:dyDescent="0.25">
      <c r="A5" s="26">
        <v>46186</v>
      </c>
      <c r="B5" s="32" t="s">
        <v>21</v>
      </c>
      <c r="C5" s="28" t="s">
        <v>22</v>
      </c>
      <c r="D5" s="28" t="s">
        <v>23</v>
      </c>
      <c r="E5" s="18"/>
      <c r="F5" s="19"/>
      <c r="G5" s="58" t="str">
        <f t="shared" si="0"/>
        <v/>
      </c>
      <c r="H5">
        <f t="shared" si="1"/>
        <v>0</v>
      </c>
      <c r="I5" s="1" t="s">
        <v>68</v>
      </c>
      <c r="J5" t="str" cm="1">
        <f t="array" ref="J5">INDEX(_xlfn.SORTBY(_xlfn._xlws.FILTER($C$78:$E$125,$B$78:$B$125="A"),_xlfn._xlws.FILTER($D$78:$D$125,$B$78:$B$125="A"),-1,_xlfn._xlws.FILTER($E$78:$E$125,$B$78:$B$125="A"),-1),4,1)</f>
        <v>South Africa</v>
      </c>
      <c r="K5" t="str" cm="1">
        <f t="array" ref="K5">INDEX(_xlfn.SORTBY(_xlfn._xlws.FILTER($C$78:$E$125,$B$78:$B$125="B"),_xlfn._xlws.FILTER($D$78:$D$125,$B$78:$B$125="B"),-1,_xlfn._xlws.FILTER($E$78:$E$125,$B$78:$B$125="B"),-1),4,1)</f>
        <v>Switzerland</v>
      </c>
      <c r="L5" t="str" cm="1">
        <f t="array" ref="L5">INDEX(_xlfn.SORTBY(_xlfn._xlws.FILTER($C$78:$E$125,$B$78:$B$125="C"),_xlfn._xlws.FILTER($D$78:$D$125,$B$78:$B$125="C"),-1,_xlfn._xlws.FILTER($E$78:$E$125,$B$78:$B$125="C"),-1),4,1)</f>
        <v>Scotland</v>
      </c>
      <c r="M5" t="str" cm="1">
        <f t="array" ref="M5">INDEX(_xlfn.SORTBY(_xlfn._xlws.FILTER($C$78:$E$125,$B$78:$B$125="D"),_xlfn._xlws.FILTER($D$78:$D$125,$B$78:$B$125="D"),-1,_xlfn._xlws.FILTER($E$78:$E$125,$B$78:$B$125="D"),-1),4,1)</f>
        <v>USA</v>
      </c>
      <c r="N5" t="str" cm="1">
        <f t="array" ref="N5">INDEX(_xlfn.SORTBY(_xlfn._xlws.FILTER($C$78:$E$125,$B$78:$B$125="E"),_xlfn._xlws.FILTER($D$78:$D$125,$B$78:$B$125="E"),-1,_xlfn._xlws.FILTER($E$78:$E$125,$B$78:$B$125="E"),-1),4,1)</f>
        <v>Germany</v>
      </c>
      <c r="O5" t="str" cm="1">
        <f t="array" ref="O5">INDEX(_xlfn.SORTBY(_xlfn._xlws.FILTER($C$78:$E$125,$B$78:$B$125="F"),_xlfn._xlws.FILTER($D$78:$D$125,$B$78:$B$125="F"),-1,_xlfn._xlws.FILTER($E$78:$E$125,$B$78:$B$125="F"),-1),4,1)</f>
        <v>Tunisia</v>
      </c>
      <c r="P5" t="str" cm="1">
        <f t="array" ref="P5">INDEX(_xlfn.SORTBY(_xlfn._xlws.FILTER($C$78:$E$125,$B$78:$B$125="G"),_xlfn._xlws.FILTER($D$78:$D$125,$B$78:$B$125="G"),-1,_xlfn._xlws.FILTER($E$78:$E$125,$B$78:$B$125="G"),-1),4,1)</f>
        <v>New Zealand</v>
      </c>
      <c r="Q5" t="str" cm="1">
        <f t="array" ref="Q5">INDEX(_xlfn.SORTBY(_xlfn._xlws.FILTER($C$78:$E$125,$B$78:$B$125="H"),_xlfn._xlws.FILTER($D$78:$D$125,$B$78:$B$125="H"),-1,_xlfn._xlws.FILTER($E$78:$E$125,$B$78:$B$125="H"),-1),4,1)</f>
        <v>Uruguay</v>
      </c>
      <c r="R5" t="str" cm="1">
        <f t="array" ref="R5">INDEX(_xlfn.SORTBY(_xlfn._xlws.FILTER($C$78:$E$125,$B$78:$B$125="I"),_xlfn._xlws.FILTER($D$78:$D$125,$B$78:$B$125="I"),-1,_xlfn._xlws.FILTER($E$78:$E$125,$B$78:$B$125="I"),-1),4,1)</f>
        <v>Senegal</v>
      </c>
      <c r="S5" t="str" cm="1">
        <f t="array" ref="S5">INDEX(_xlfn.SORTBY(_xlfn._xlws.FILTER($C$78:$E$125,$B$78:$B$125="J"),_xlfn._xlws.FILTER($D$78:$D$125,$B$78:$B$125="J"),-1,_xlfn._xlws.FILTER($E$78:$E$125,$B$78:$B$125="J"),-1),4,1)</f>
        <v>Jordan</v>
      </c>
      <c r="T5" t="str" cm="1">
        <f t="array" ref="T5">INDEX(_xlfn.SORTBY(_xlfn._xlws.FILTER($C$78:$E$125,$B$78:$B$125="K"),_xlfn._xlws.FILTER($D$78:$D$125,$B$78:$B$125="K"),-1,_xlfn._xlws.FILTER($E$78:$E$125,$B$78:$B$125="K"),-1),4,1)</f>
        <v>Uzbekistan</v>
      </c>
      <c r="U5" t="str" cm="1">
        <f t="array" ref="U5">INDEX(_xlfn.SORTBY(_xlfn._xlws.FILTER($C$78:$E$125,$B$78:$B$125="L"),_xlfn._xlws.FILTER($D$78:$D$125,$B$78:$B$125="L"),-1,_xlfn._xlws.FILTER($E$78:$E$125,$B$78:$B$125="L"),-1),4,1)</f>
        <v>Panama</v>
      </c>
    </row>
    <row r="6" spans="1:21" x14ac:dyDescent="0.25">
      <c r="A6" s="26">
        <v>46186</v>
      </c>
      <c r="B6" s="33" t="s">
        <v>11</v>
      </c>
      <c r="C6" s="28" t="s">
        <v>14</v>
      </c>
      <c r="D6" s="28" t="s">
        <v>15</v>
      </c>
      <c r="E6" s="18"/>
      <c r="F6" s="19"/>
      <c r="G6" s="58" t="str">
        <f t="shared" si="0"/>
        <v/>
      </c>
      <c r="H6">
        <f t="shared" si="1"/>
        <v>0</v>
      </c>
    </row>
    <row r="7" spans="1:21" x14ac:dyDescent="0.25">
      <c r="A7" s="29">
        <v>46186</v>
      </c>
      <c r="B7" s="34" t="s">
        <v>16</v>
      </c>
      <c r="C7" s="31" t="s">
        <v>17</v>
      </c>
      <c r="D7" s="31" t="s">
        <v>18</v>
      </c>
      <c r="E7" s="54"/>
      <c r="F7" s="55"/>
      <c r="G7" s="61" t="str">
        <f t="shared" si="0"/>
        <v/>
      </c>
      <c r="H7" s="2">
        <f t="shared" si="1"/>
        <v>0</v>
      </c>
    </row>
    <row r="8" spans="1:21" x14ac:dyDescent="0.25">
      <c r="A8" s="26">
        <v>46187</v>
      </c>
      <c r="B8" s="35" t="s">
        <v>16</v>
      </c>
      <c r="C8" s="28" t="s">
        <v>19</v>
      </c>
      <c r="D8" s="28" t="s">
        <v>20</v>
      </c>
      <c r="E8" s="18"/>
      <c r="F8" s="19"/>
      <c r="G8" s="58" t="str">
        <f t="shared" si="0"/>
        <v/>
      </c>
      <c r="H8">
        <f t="shared" si="1"/>
        <v>0</v>
      </c>
    </row>
    <row r="9" spans="1:21" x14ac:dyDescent="0.25">
      <c r="A9" s="26">
        <v>46187</v>
      </c>
      <c r="B9" s="32" t="s">
        <v>21</v>
      </c>
      <c r="C9" s="28" t="s">
        <v>24</v>
      </c>
      <c r="D9" s="28" t="s">
        <v>25</v>
      </c>
      <c r="E9" s="18"/>
      <c r="F9" s="19"/>
      <c r="G9" s="58" t="str">
        <f t="shared" si="0"/>
        <v/>
      </c>
      <c r="H9">
        <f t="shared" si="1"/>
        <v>0</v>
      </c>
    </row>
    <row r="10" spans="1:21" x14ac:dyDescent="0.25">
      <c r="A10" s="26">
        <v>46187</v>
      </c>
      <c r="B10" s="36" t="s">
        <v>26</v>
      </c>
      <c r="C10" s="28" t="s">
        <v>27</v>
      </c>
      <c r="D10" s="28" t="s">
        <v>28</v>
      </c>
      <c r="E10" s="18"/>
      <c r="F10" s="19"/>
      <c r="G10" s="58" t="str">
        <f t="shared" si="0"/>
        <v/>
      </c>
      <c r="H10">
        <f t="shared" si="1"/>
        <v>0</v>
      </c>
    </row>
    <row r="11" spans="1:21" x14ac:dyDescent="0.25">
      <c r="A11" s="29">
        <v>46187</v>
      </c>
      <c r="B11" s="37" t="s">
        <v>31</v>
      </c>
      <c r="C11" s="31" t="s">
        <v>32</v>
      </c>
      <c r="D11" s="31" t="s">
        <v>33</v>
      </c>
      <c r="E11" s="54"/>
      <c r="F11" s="55"/>
      <c r="G11" s="61" t="str">
        <f t="shared" si="0"/>
        <v/>
      </c>
      <c r="H11" s="2">
        <f t="shared" si="1"/>
        <v>0</v>
      </c>
    </row>
    <row r="12" spans="1:21" x14ac:dyDescent="0.25">
      <c r="A12" s="26">
        <v>46188</v>
      </c>
      <c r="B12" s="36" t="s">
        <v>26</v>
      </c>
      <c r="C12" s="28" t="s">
        <v>29</v>
      </c>
      <c r="D12" s="28" t="s">
        <v>30</v>
      </c>
      <c r="E12" s="18"/>
      <c r="F12" s="19"/>
      <c r="G12" s="58" t="str">
        <f t="shared" si="0"/>
        <v/>
      </c>
      <c r="H12">
        <f t="shared" si="1"/>
        <v>0</v>
      </c>
    </row>
    <row r="13" spans="1:21" x14ac:dyDescent="0.25">
      <c r="A13" s="26">
        <v>46188</v>
      </c>
      <c r="B13" s="38" t="s">
        <v>31</v>
      </c>
      <c r="C13" s="28" t="s">
        <v>34</v>
      </c>
      <c r="D13" s="28" t="s">
        <v>35</v>
      </c>
      <c r="E13" s="18"/>
      <c r="F13" s="19"/>
      <c r="G13" s="58" t="str">
        <f t="shared" si="0"/>
        <v/>
      </c>
      <c r="H13">
        <f t="shared" si="1"/>
        <v>0</v>
      </c>
    </row>
    <row r="14" spans="1:21" x14ac:dyDescent="0.25">
      <c r="A14" s="26">
        <v>46188</v>
      </c>
      <c r="B14" s="39" t="s">
        <v>36</v>
      </c>
      <c r="C14" s="28" t="s">
        <v>37</v>
      </c>
      <c r="D14" s="28" t="s">
        <v>38</v>
      </c>
      <c r="E14" s="18"/>
      <c r="F14" s="19"/>
      <c r="G14" s="58" t="str">
        <f t="shared" si="0"/>
        <v/>
      </c>
      <c r="H14">
        <f t="shared" si="1"/>
        <v>0</v>
      </c>
    </row>
    <row r="15" spans="1:21" x14ac:dyDescent="0.25">
      <c r="A15" s="26">
        <v>46188</v>
      </c>
      <c r="B15" s="40" t="s">
        <v>41</v>
      </c>
      <c r="C15" s="28" t="s">
        <v>42</v>
      </c>
      <c r="D15" s="28" t="s">
        <v>43</v>
      </c>
      <c r="E15" s="18"/>
      <c r="F15" s="19"/>
      <c r="G15" s="58" t="str">
        <f t="shared" si="0"/>
        <v/>
      </c>
      <c r="H15">
        <f t="shared" si="1"/>
        <v>0</v>
      </c>
    </row>
    <row r="16" spans="1:21" x14ac:dyDescent="0.25">
      <c r="A16" s="29">
        <v>46188</v>
      </c>
      <c r="B16" s="41" t="s">
        <v>41</v>
      </c>
      <c r="C16" s="31" t="s">
        <v>44</v>
      </c>
      <c r="D16" s="31" t="s">
        <v>45</v>
      </c>
      <c r="E16" s="54"/>
      <c r="F16" s="55"/>
      <c r="G16" s="61" t="str">
        <f t="shared" si="0"/>
        <v/>
      </c>
      <c r="H16" s="2">
        <f t="shared" si="1"/>
        <v>0</v>
      </c>
    </row>
    <row r="17" spans="1:8" x14ac:dyDescent="0.25">
      <c r="A17" s="26">
        <v>46189</v>
      </c>
      <c r="B17" s="39" t="s">
        <v>36</v>
      </c>
      <c r="C17" s="28" t="s">
        <v>39</v>
      </c>
      <c r="D17" s="28" t="s">
        <v>40</v>
      </c>
      <c r="E17" s="18"/>
      <c r="F17" s="19"/>
      <c r="G17" s="58" t="str">
        <f t="shared" si="0"/>
        <v/>
      </c>
      <c r="H17">
        <f t="shared" si="1"/>
        <v>0</v>
      </c>
    </row>
    <row r="18" spans="1:8" x14ac:dyDescent="0.25">
      <c r="A18" s="26">
        <v>46189</v>
      </c>
      <c r="B18" s="42" t="s">
        <v>46</v>
      </c>
      <c r="C18" s="28" t="s">
        <v>47</v>
      </c>
      <c r="D18" s="28" t="s">
        <v>48</v>
      </c>
      <c r="E18" s="18"/>
      <c r="F18" s="19"/>
      <c r="G18" s="58" t="str">
        <f t="shared" si="0"/>
        <v/>
      </c>
      <c r="H18">
        <f t="shared" si="1"/>
        <v>0</v>
      </c>
    </row>
    <row r="19" spans="1:8" x14ac:dyDescent="0.25">
      <c r="A19" s="29">
        <v>46189</v>
      </c>
      <c r="B19" s="43" t="s">
        <v>46</v>
      </c>
      <c r="C19" s="31" t="s">
        <v>49</v>
      </c>
      <c r="D19" s="31" t="s">
        <v>50</v>
      </c>
      <c r="E19" s="54"/>
      <c r="F19" s="55"/>
      <c r="G19" s="61" t="str">
        <f t="shared" si="0"/>
        <v/>
      </c>
      <c r="H19" s="2">
        <f t="shared" si="1"/>
        <v>0</v>
      </c>
    </row>
    <row r="20" spans="1:8" x14ac:dyDescent="0.25">
      <c r="A20" s="26">
        <v>46190</v>
      </c>
      <c r="B20" s="44" t="s">
        <v>51</v>
      </c>
      <c r="C20" s="28" t="s">
        <v>52</v>
      </c>
      <c r="D20" s="28" t="s">
        <v>53</v>
      </c>
      <c r="E20" s="18"/>
      <c r="F20" s="19"/>
      <c r="G20" s="58" t="str">
        <f t="shared" si="0"/>
        <v/>
      </c>
      <c r="H20">
        <f t="shared" si="1"/>
        <v>0</v>
      </c>
    </row>
    <row r="21" spans="1:8" x14ac:dyDescent="0.25">
      <c r="A21" s="26">
        <v>46190</v>
      </c>
      <c r="B21" s="44" t="s">
        <v>51</v>
      </c>
      <c r="C21" s="28" t="s">
        <v>54</v>
      </c>
      <c r="D21" s="28" t="s">
        <v>55</v>
      </c>
      <c r="E21" s="18"/>
      <c r="F21" s="19"/>
      <c r="G21" s="58" t="str">
        <f t="shared" si="0"/>
        <v/>
      </c>
      <c r="H21">
        <f t="shared" si="1"/>
        <v>0</v>
      </c>
    </row>
    <row r="22" spans="1:8" x14ac:dyDescent="0.25">
      <c r="A22" s="26">
        <v>46190</v>
      </c>
      <c r="B22" s="45" t="s">
        <v>56</v>
      </c>
      <c r="C22" s="28" t="s">
        <v>57</v>
      </c>
      <c r="D22" s="28" t="s">
        <v>58</v>
      </c>
      <c r="E22" s="18"/>
      <c r="F22" s="19"/>
      <c r="G22" s="58" t="str">
        <f t="shared" si="0"/>
        <v/>
      </c>
      <c r="H22">
        <f t="shared" si="1"/>
        <v>0</v>
      </c>
    </row>
    <row r="23" spans="1:8" x14ac:dyDescent="0.25">
      <c r="A23" s="29">
        <v>46190</v>
      </c>
      <c r="B23" s="46" t="s">
        <v>61</v>
      </c>
      <c r="C23" s="31" t="s">
        <v>62</v>
      </c>
      <c r="D23" s="31" t="s">
        <v>63</v>
      </c>
      <c r="E23" s="54"/>
      <c r="F23" s="55"/>
      <c r="G23" s="61" t="str">
        <f t="shared" si="0"/>
        <v/>
      </c>
      <c r="H23" s="2">
        <f t="shared" si="1"/>
        <v>0</v>
      </c>
    </row>
    <row r="24" spans="1:8" x14ac:dyDescent="0.25">
      <c r="A24" s="26">
        <v>46191</v>
      </c>
      <c r="B24" s="45" t="s">
        <v>56</v>
      </c>
      <c r="C24" s="28" t="s">
        <v>59</v>
      </c>
      <c r="D24" s="28" t="s">
        <v>60</v>
      </c>
      <c r="E24" s="18"/>
      <c r="F24" s="19"/>
      <c r="G24" s="58" t="str">
        <f t="shared" si="0"/>
        <v/>
      </c>
      <c r="H24">
        <f t="shared" si="1"/>
        <v>0</v>
      </c>
    </row>
    <row r="25" spans="1:8" x14ac:dyDescent="0.25">
      <c r="A25" s="26">
        <v>46191</v>
      </c>
      <c r="B25" s="47" t="s">
        <v>61</v>
      </c>
      <c r="C25" s="28" t="s">
        <v>64</v>
      </c>
      <c r="D25" s="28" t="s">
        <v>65</v>
      </c>
      <c r="E25" s="18"/>
      <c r="F25" s="19"/>
      <c r="G25" s="58" t="str">
        <f t="shared" si="0"/>
        <v/>
      </c>
      <c r="H25">
        <f t="shared" si="1"/>
        <v>0</v>
      </c>
    </row>
    <row r="26" spans="1:8" x14ac:dyDescent="0.25">
      <c r="A26" s="26">
        <v>46191</v>
      </c>
      <c r="B26" s="27" t="s">
        <v>6</v>
      </c>
      <c r="C26" s="28" t="s">
        <v>10</v>
      </c>
      <c r="D26" s="28" t="s">
        <v>8</v>
      </c>
      <c r="E26" s="18"/>
      <c r="F26" s="19"/>
      <c r="G26" s="58" t="str">
        <f t="shared" si="0"/>
        <v/>
      </c>
      <c r="H26">
        <f t="shared" si="1"/>
        <v>0</v>
      </c>
    </row>
    <row r="27" spans="1:8" x14ac:dyDescent="0.25">
      <c r="A27" s="26">
        <v>46191</v>
      </c>
      <c r="B27" s="33" t="s">
        <v>11</v>
      </c>
      <c r="C27" s="28" t="s">
        <v>15</v>
      </c>
      <c r="D27" s="28" t="s">
        <v>13</v>
      </c>
      <c r="E27" s="18"/>
      <c r="F27" s="19"/>
      <c r="G27" s="58" t="str">
        <f t="shared" si="0"/>
        <v/>
      </c>
      <c r="H27">
        <f t="shared" si="1"/>
        <v>0</v>
      </c>
    </row>
    <row r="28" spans="1:8" x14ac:dyDescent="0.25">
      <c r="A28" s="29">
        <v>46191</v>
      </c>
      <c r="B28" s="30" t="s">
        <v>11</v>
      </c>
      <c r="C28" s="31" t="s">
        <v>12</v>
      </c>
      <c r="D28" s="31" t="s">
        <v>14</v>
      </c>
      <c r="E28" s="54"/>
      <c r="F28" s="55"/>
      <c r="G28" s="61" t="str">
        <f t="shared" si="0"/>
        <v/>
      </c>
      <c r="H28" s="2">
        <f t="shared" si="1"/>
        <v>0</v>
      </c>
    </row>
    <row r="29" spans="1:8" x14ac:dyDescent="0.25">
      <c r="A29" s="26">
        <v>46192</v>
      </c>
      <c r="B29" s="27" t="s">
        <v>6</v>
      </c>
      <c r="C29" s="28" t="s">
        <v>7</v>
      </c>
      <c r="D29" s="28" t="s">
        <v>9</v>
      </c>
      <c r="E29" s="18"/>
      <c r="F29" s="19"/>
      <c r="G29" s="58" t="str">
        <f t="shared" si="0"/>
        <v/>
      </c>
      <c r="H29">
        <f t="shared" si="1"/>
        <v>0</v>
      </c>
    </row>
    <row r="30" spans="1:8" x14ac:dyDescent="0.25">
      <c r="A30" s="26">
        <v>46192</v>
      </c>
      <c r="B30" s="35" t="s">
        <v>16</v>
      </c>
      <c r="C30" s="28" t="s">
        <v>20</v>
      </c>
      <c r="D30" s="28" t="s">
        <v>18</v>
      </c>
      <c r="E30" s="18"/>
      <c r="F30" s="19"/>
      <c r="G30" s="58" t="str">
        <f t="shared" si="0"/>
        <v/>
      </c>
      <c r="H30">
        <f t="shared" si="1"/>
        <v>0</v>
      </c>
    </row>
    <row r="31" spans="1:8" x14ac:dyDescent="0.25">
      <c r="A31" s="29">
        <v>46192</v>
      </c>
      <c r="B31" s="48" t="s">
        <v>21</v>
      </c>
      <c r="C31" s="31" t="s">
        <v>22</v>
      </c>
      <c r="D31" s="31" t="s">
        <v>24</v>
      </c>
      <c r="E31" s="54"/>
      <c r="F31" s="55"/>
      <c r="G31" s="61" t="str">
        <f t="shared" si="0"/>
        <v/>
      </c>
      <c r="H31" s="2">
        <f t="shared" si="1"/>
        <v>0</v>
      </c>
    </row>
    <row r="32" spans="1:8" x14ac:dyDescent="0.25">
      <c r="A32" s="26">
        <v>46193</v>
      </c>
      <c r="B32" s="35" t="s">
        <v>16</v>
      </c>
      <c r="C32" s="28" t="s">
        <v>17</v>
      </c>
      <c r="D32" s="28" t="s">
        <v>19</v>
      </c>
      <c r="E32" s="18"/>
      <c r="F32" s="19"/>
      <c r="G32" s="58" t="str">
        <f t="shared" si="0"/>
        <v/>
      </c>
      <c r="H32">
        <f t="shared" si="1"/>
        <v>0</v>
      </c>
    </row>
    <row r="33" spans="1:8" x14ac:dyDescent="0.25">
      <c r="A33" s="26">
        <v>46193</v>
      </c>
      <c r="B33" s="32" t="s">
        <v>21</v>
      </c>
      <c r="C33" s="28" t="s">
        <v>25</v>
      </c>
      <c r="D33" s="28" t="s">
        <v>23</v>
      </c>
      <c r="E33" s="18"/>
      <c r="F33" s="19"/>
      <c r="G33" s="58" t="str">
        <f t="shared" si="0"/>
        <v/>
      </c>
      <c r="H33">
        <f t="shared" si="1"/>
        <v>0</v>
      </c>
    </row>
    <row r="34" spans="1:8" x14ac:dyDescent="0.25">
      <c r="A34" s="26">
        <v>46193</v>
      </c>
      <c r="B34" s="36" t="s">
        <v>26</v>
      </c>
      <c r="C34" s="28" t="s">
        <v>27</v>
      </c>
      <c r="D34" s="28" t="s">
        <v>29</v>
      </c>
      <c r="E34" s="18"/>
      <c r="F34" s="19"/>
      <c r="G34" s="58" t="str">
        <f t="shared" si="0"/>
        <v/>
      </c>
      <c r="H34">
        <f t="shared" si="1"/>
        <v>0</v>
      </c>
    </row>
    <row r="35" spans="1:8" x14ac:dyDescent="0.25">
      <c r="A35" s="29">
        <v>46193</v>
      </c>
      <c r="B35" s="37" t="s">
        <v>31</v>
      </c>
      <c r="C35" s="31" t="s">
        <v>32</v>
      </c>
      <c r="D35" s="31" t="s">
        <v>34</v>
      </c>
      <c r="E35" s="54"/>
      <c r="F35" s="55"/>
      <c r="G35" s="61" t="str">
        <f t="shared" si="0"/>
        <v/>
      </c>
      <c r="H35" s="2">
        <f t="shared" si="1"/>
        <v>0</v>
      </c>
    </row>
    <row r="36" spans="1:8" x14ac:dyDescent="0.25">
      <c r="A36" s="26">
        <v>46194</v>
      </c>
      <c r="B36" s="36" t="s">
        <v>26</v>
      </c>
      <c r="C36" s="28" t="s">
        <v>30</v>
      </c>
      <c r="D36" s="28" t="s">
        <v>28</v>
      </c>
      <c r="E36" s="18"/>
      <c r="F36" s="19"/>
      <c r="G36" s="58" t="str">
        <f t="shared" si="0"/>
        <v/>
      </c>
      <c r="H36">
        <f t="shared" si="1"/>
        <v>0</v>
      </c>
    </row>
    <row r="37" spans="1:8" x14ac:dyDescent="0.25">
      <c r="A37" s="26">
        <v>46194</v>
      </c>
      <c r="B37" s="38" t="s">
        <v>31</v>
      </c>
      <c r="C37" s="28" t="s">
        <v>35</v>
      </c>
      <c r="D37" s="28" t="s">
        <v>33</v>
      </c>
      <c r="E37" s="18"/>
      <c r="F37" s="19"/>
      <c r="G37" s="58" t="str">
        <f t="shared" si="0"/>
        <v/>
      </c>
      <c r="H37">
        <f t="shared" si="1"/>
        <v>0</v>
      </c>
    </row>
    <row r="38" spans="1:8" x14ac:dyDescent="0.25">
      <c r="A38" s="26">
        <v>46194</v>
      </c>
      <c r="B38" s="39" t="s">
        <v>36</v>
      </c>
      <c r="C38" s="28" t="s">
        <v>37</v>
      </c>
      <c r="D38" s="28" t="s">
        <v>39</v>
      </c>
      <c r="E38" s="18"/>
      <c r="F38" s="19"/>
      <c r="G38" s="58" t="str">
        <f t="shared" si="0"/>
        <v/>
      </c>
      <c r="H38">
        <f t="shared" si="1"/>
        <v>0</v>
      </c>
    </row>
    <row r="39" spans="1:8" x14ac:dyDescent="0.25">
      <c r="A39" s="26">
        <v>46194</v>
      </c>
      <c r="B39" s="40" t="s">
        <v>41</v>
      </c>
      <c r="C39" s="28" t="s">
        <v>42</v>
      </c>
      <c r="D39" s="28" t="s">
        <v>44</v>
      </c>
      <c r="E39" s="18"/>
      <c r="F39" s="19"/>
      <c r="G39" s="58" t="str">
        <f t="shared" si="0"/>
        <v/>
      </c>
      <c r="H39">
        <f t="shared" si="1"/>
        <v>0</v>
      </c>
    </row>
    <row r="40" spans="1:8" x14ac:dyDescent="0.25">
      <c r="A40" s="29">
        <v>46194</v>
      </c>
      <c r="B40" s="41" t="s">
        <v>41</v>
      </c>
      <c r="C40" s="31" t="s">
        <v>45</v>
      </c>
      <c r="D40" s="31" t="s">
        <v>43</v>
      </c>
      <c r="E40" s="54"/>
      <c r="F40" s="55"/>
      <c r="G40" s="61" t="str">
        <f t="shared" si="0"/>
        <v/>
      </c>
      <c r="H40" s="2">
        <f t="shared" si="1"/>
        <v>0</v>
      </c>
    </row>
    <row r="41" spans="1:8" x14ac:dyDescent="0.25">
      <c r="A41" s="26">
        <v>46195</v>
      </c>
      <c r="B41" s="39" t="s">
        <v>36</v>
      </c>
      <c r="C41" s="28" t="s">
        <v>40</v>
      </c>
      <c r="D41" s="28" t="s">
        <v>38</v>
      </c>
      <c r="E41" s="18"/>
      <c r="F41" s="19"/>
      <c r="G41" s="58" t="str">
        <f t="shared" si="0"/>
        <v/>
      </c>
      <c r="H41">
        <f t="shared" si="1"/>
        <v>0</v>
      </c>
    </row>
    <row r="42" spans="1:8" x14ac:dyDescent="0.25">
      <c r="A42" s="26">
        <v>46195</v>
      </c>
      <c r="B42" s="42" t="s">
        <v>46</v>
      </c>
      <c r="C42" s="28" t="s">
        <v>47</v>
      </c>
      <c r="D42" s="28" t="s">
        <v>49</v>
      </c>
      <c r="E42" s="18"/>
      <c r="F42" s="19"/>
      <c r="G42" s="58" t="str">
        <f t="shared" si="0"/>
        <v/>
      </c>
      <c r="H42">
        <f t="shared" si="1"/>
        <v>0</v>
      </c>
    </row>
    <row r="43" spans="1:8" x14ac:dyDescent="0.25">
      <c r="A43" s="29">
        <v>46195</v>
      </c>
      <c r="B43" s="49" t="s">
        <v>51</v>
      </c>
      <c r="C43" s="31" t="s">
        <v>52</v>
      </c>
      <c r="D43" s="31" t="s">
        <v>54</v>
      </c>
      <c r="E43" s="54"/>
      <c r="F43" s="55"/>
      <c r="G43" s="61" t="str">
        <f t="shared" si="0"/>
        <v/>
      </c>
      <c r="H43" s="2">
        <f t="shared" si="1"/>
        <v>0</v>
      </c>
    </row>
    <row r="44" spans="1:8" x14ac:dyDescent="0.25">
      <c r="A44" s="26">
        <v>46196</v>
      </c>
      <c r="B44" s="42" t="s">
        <v>46</v>
      </c>
      <c r="C44" s="28" t="s">
        <v>50</v>
      </c>
      <c r="D44" s="28" t="s">
        <v>48</v>
      </c>
      <c r="E44" s="18"/>
      <c r="F44" s="19"/>
      <c r="G44" s="58" t="str">
        <f t="shared" si="0"/>
        <v/>
      </c>
      <c r="H44">
        <f t="shared" si="1"/>
        <v>0</v>
      </c>
    </row>
    <row r="45" spans="1:8" x14ac:dyDescent="0.25">
      <c r="A45" s="26">
        <v>46196</v>
      </c>
      <c r="B45" s="44" t="s">
        <v>51</v>
      </c>
      <c r="C45" s="28" t="s">
        <v>55</v>
      </c>
      <c r="D45" s="28" t="s">
        <v>53</v>
      </c>
      <c r="E45" s="18"/>
      <c r="F45" s="19"/>
      <c r="G45" s="58" t="str">
        <f t="shared" si="0"/>
        <v/>
      </c>
      <c r="H45">
        <f t="shared" si="1"/>
        <v>0</v>
      </c>
    </row>
    <row r="46" spans="1:8" x14ac:dyDescent="0.25">
      <c r="A46" s="26">
        <v>46196</v>
      </c>
      <c r="B46" s="45" t="s">
        <v>56</v>
      </c>
      <c r="C46" s="28" t="s">
        <v>57</v>
      </c>
      <c r="D46" s="28" t="s">
        <v>59</v>
      </c>
      <c r="E46" s="18"/>
      <c r="F46" s="19"/>
      <c r="G46" s="58" t="str">
        <f t="shared" si="0"/>
        <v/>
      </c>
      <c r="H46">
        <f t="shared" si="1"/>
        <v>0</v>
      </c>
    </row>
    <row r="47" spans="1:8" x14ac:dyDescent="0.25">
      <c r="A47" s="29">
        <v>46196</v>
      </c>
      <c r="B47" s="46" t="s">
        <v>61</v>
      </c>
      <c r="C47" s="31" t="s">
        <v>62</v>
      </c>
      <c r="D47" s="31" t="s">
        <v>64</v>
      </c>
      <c r="E47" s="54"/>
      <c r="F47" s="55"/>
      <c r="G47" s="61" t="str">
        <f t="shared" si="0"/>
        <v/>
      </c>
      <c r="H47" s="2">
        <f t="shared" si="1"/>
        <v>0</v>
      </c>
    </row>
    <row r="48" spans="1:8" x14ac:dyDescent="0.25">
      <c r="A48" s="26">
        <v>46197</v>
      </c>
      <c r="B48" s="45" t="s">
        <v>56</v>
      </c>
      <c r="C48" s="28" t="s">
        <v>60</v>
      </c>
      <c r="D48" s="28" t="s">
        <v>58</v>
      </c>
      <c r="E48" s="18"/>
      <c r="F48" s="19"/>
      <c r="G48" s="58" t="str">
        <f t="shared" si="0"/>
        <v/>
      </c>
      <c r="H48">
        <f t="shared" si="1"/>
        <v>0</v>
      </c>
    </row>
    <row r="49" spans="1:8" x14ac:dyDescent="0.25">
      <c r="A49" s="26">
        <v>46197</v>
      </c>
      <c r="B49" s="47" t="s">
        <v>61</v>
      </c>
      <c r="C49" s="28" t="s">
        <v>65</v>
      </c>
      <c r="D49" s="28" t="s">
        <v>63</v>
      </c>
      <c r="E49" s="18"/>
      <c r="F49" s="19"/>
      <c r="G49" s="58" t="str">
        <f t="shared" si="0"/>
        <v/>
      </c>
      <c r="H49">
        <f t="shared" si="1"/>
        <v>0</v>
      </c>
    </row>
    <row r="50" spans="1:8" x14ac:dyDescent="0.25">
      <c r="A50" s="26">
        <v>46197</v>
      </c>
      <c r="B50" s="33" t="s">
        <v>11</v>
      </c>
      <c r="C50" s="28" t="s">
        <v>15</v>
      </c>
      <c r="D50" s="28" t="s">
        <v>12</v>
      </c>
      <c r="E50" s="18"/>
      <c r="F50" s="19"/>
      <c r="G50" s="58" t="str">
        <f t="shared" si="0"/>
        <v/>
      </c>
      <c r="H50">
        <f t="shared" si="1"/>
        <v>0</v>
      </c>
    </row>
    <row r="51" spans="1:8" x14ac:dyDescent="0.25">
      <c r="A51" s="26">
        <v>46197</v>
      </c>
      <c r="B51" s="33" t="s">
        <v>11</v>
      </c>
      <c r="C51" s="28" t="s">
        <v>13</v>
      </c>
      <c r="D51" s="28" t="s">
        <v>14</v>
      </c>
      <c r="E51" s="18"/>
      <c r="F51" s="19"/>
      <c r="G51" s="58" t="str">
        <f t="shared" si="0"/>
        <v/>
      </c>
      <c r="H51">
        <f t="shared" si="1"/>
        <v>0</v>
      </c>
    </row>
    <row r="52" spans="1:8" x14ac:dyDescent="0.25">
      <c r="A52" s="26">
        <v>46197</v>
      </c>
      <c r="B52" s="35" t="s">
        <v>16</v>
      </c>
      <c r="C52" s="28" t="s">
        <v>20</v>
      </c>
      <c r="D52" s="28" t="s">
        <v>17</v>
      </c>
      <c r="E52" s="18"/>
      <c r="F52" s="19"/>
      <c r="G52" s="58" t="str">
        <f t="shared" si="0"/>
        <v/>
      </c>
      <c r="H52">
        <f t="shared" si="1"/>
        <v>0</v>
      </c>
    </row>
    <row r="53" spans="1:8" x14ac:dyDescent="0.25">
      <c r="A53" s="29">
        <v>46197</v>
      </c>
      <c r="B53" s="34" t="s">
        <v>16</v>
      </c>
      <c r="C53" s="31" t="s">
        <v>18</v>
      </c>
      <c r="D53" s="31" t="s">
        <v>19</v>
      </c>
      <c r="E53" s="54"/>
      <c r="F53" s="55"/>
      <c r="G53" s="61" t="str">
        <f t="shared" si="0"/>
        <v/>
      </c>
      <c r="H53" s="2">
        <f t="shared" si="1"/>
        <v>0</v>
      </c>
    </row>
    <row r="54" spans="1:8" x14ac:dyDescent="0.25">
      <c r="A54" s="26">
        <v>46198</v>
      </c>
      <c r="B54" s="27" t="s">
        <v>6</v>
      </c>
      <c r="C54" s="28" t="s">
        <v>10</v>
      </c>
      <c r="D54" s="28" t="s">
        <v>7</v>
      </c>
      <c r="E54" s="18"/>
      <c r="F54" s="19"/>
      <c r="G54" s="58" t="str">
        <f t="shared" si="0"/>
        <v/>
      </c>
      <c r="H54">
        <f t="shared" si="1"/>
        <v>0</v>
      </c>
    </row>
    <row r="55" spans="1:8" x14ac:dyDescent="0.25">
      <c r="A55" s="26">
        <v>46198</v>
      </c>
      <c r="B55" s="27" t="s">
        <v>6</v>
      </c>
      <c r="C55" s="28" t="s">
        <v>8</v>
      </c>
      <c r="D55" s="28" t="s">
        <v>9</v>
      </c>
      <c r="E55" s="18"/>
      <c r="F55" s="19"/>
      <c r="G55" s="58" t="str">
        <f t="shared" si="0"/>
        <v/>
      </c>
      <c r="H55">
        <f t="shared" si="1"/>
        <v>0</v>
      </c>
    </row>
    <row r="56" spans="1:8" x14ac:dyDescent="0.25">
      <c r="A56" s="26">
        <v>46198</v>
      </c>
      <c r="B56" s="36" t="s">
        <v>26</v>
      </c>
      <c r="C56" s="28" t="s">
        <v>30</v>
      </c>
      <c r="D56" s="28" t="s">
        <v>27</v>
      </c>
      <c r="E56" s="18"/>
      <c r="F56" s="19"/>
      <c r="G56" s="58" t="str">
        <f t="shared" si="0"/>
        <v/>
      </c>
      <c r="H56">
        <f t="shared" si="1"/>
        <v>0</v>
      </c>
    </row>
    <row r="57" spans="1:8" x14ac:dyDescent="0.25">
      <c r="A57" s="29">
        <v>46198</v>
      </c>
      <c r="B57" s="50" t="s">
        <v>26</v>
      </c>
      <c r="C57" s="31" t="s">
        <v>28</v>
      </c>
      <c r="D57" s="31" t="s">
        <v>29</v>
      </c>
      <c r="E57" s="54"/>
      <c r="F57" s="55"/>
      <c r="G57" s="61" t="str">
        <f t="shared" si="0"/>
        <v/>
      </c>
      <c r="H57" s="2">
        <f t="shared" si="1"/>
        <v>0</v>
      </c>
    </row>
    <row r="58" spans="1:8" x14ac:dyDescent="0.25">
      <c r="A58" s="26">
        <v>46199</v>
      </c>
      <c r="B58" s="32" t="s">
        <v>21</v>
      </c>
      <c r="C58" s="28" t="s">
        <v>25</v>
      </c>
      <c r="D58" s="28" t="s">
        <v>22</v>
      </c>
      <c r="E58" s="18"/>
      <c r="F58" s="19"/>
      <c r="G58" s="58" t="str">
        <f t="shared" si="0"/>
        <v/>
      </c>
      <c r="H58">
        <f t="shared" si="1"/>
        <v>0</v>
      </c>
    </row>
    <row r="59" spans="1:8" x14ac:dyDescent="0.25">
      <c r="A59" s="26">
        <v>46199</v>
      </c>
      <c r="B59" s="32" t="s">
        <v>21</v>
      </c>
      <c r="C59" s="28" t="s">
        <v>23</v>
      </c>
      <c r="D59" s="28" t="s">
        <v>24</v>
      </c>
      <c r="E59" s="18"/>
      <c r="F59" s="19"/>
      <c r="G59" s="58" t="str">
        <f t="shared" si="0"/>
        <v/>
      </c>
      <c r="H59">
        <f t="shared" si="1"/>
        <v>0</v>
      </c>
    </row>
    <row r="60" spans="1:8" x14ac:dyDescent="0.25">
      <c r="A60" s="26">
        <v>46199</v>
      </c>
      <c r="B60" s="38" t="s">
        <v>31</v>
      </c>
      <c r="C60" s="28" t="s">
        <v>35</v>
      </c>
      <c r="D60" s="28" t="s">
        <v>32</v>
      </c>
      <c r="E60" s="18"/>
      <c r="F60" s="19"/>
      <c r="G60" s="58" t="str">
        <f t="shared" si="0"/>
        <v/>
      </c>
      <c r="H60">
        <f t="shared" si="1"/>
        <v>0</v>
      </c>
    </row>
    <row r="61" spans="1:8" x14ac:dyDescent="0.25">
      <c r="A61" s="26">
        <v>46199</v>
      </c>
      <c r="B61" s="38" t="s">
        <v>31</v>
      </c>
      <c r="C61" s="28" t="s">
        <v>33</v>
      </c>
      <c r="D61" s="28" t="s">
        <v>34</v>
      </c>
      <c r="E61" s="18"/>
      <c r="F61" s="19"/>
      <c r="G61" s="58" t="str">
        <f t="shared" si="0"/>
        <v/>
      </c>
      <c r="H61">
        <f t="shared" si="1"/>
        <v>0</v>
      </c>
    </row>
    <row r="62" spans="1:8" x14ac:dyDescent="0.25">
      <c r="A62" s="26">
        <v>46199</v>
      </c>
      <c r="B62" s="42" t="s">
        <v>46</v>
      </c>
      <c r="C62" s="28" t="s">
        <v>50</v>
      </c>
      <c r="D62" s="28" t="s">
        <v>47</v>
      </c>
      <c r="E62" s="18"/>
      <c r="F62" s="19"/>
      <c r="G62" s="58" t="str">
        <f t="shared" si="0"/>
        <v/>
      </c>
      <c r="H62">
        <f t="shared" si="1"/>
        <v>0</v>
      </c>
    </row>
    <row r="63" spans="1:8" x14ac:dyDescent="0.25">
      <c r="A63" s="29">
        <v>46199</v>
      </c>
      <c r="B63" s="43" t="s">
        <v>46</v>
      </c>
      <c r="C63" s="31" t="s">
        <v>48</v>
      </c>
      <c r="D63" s="31" t="s">
        <v>49</v>
      </c>
      <c r="E63" s="54"/>
      <c r="F63" s="55"/>
      <c r="G63" s="61" t="str">
        <f t="shared" si="0"/>
        <v/>
      </c>
      <c r="H63" s="2">
        <f t="shared" si="1"/>
        <v>0</v>
      </c>
    </row>
    <row r="64" spans="1:8" x14ac:dyDescent="0.25">
      <c r="A64" s="26">
        <v>46200</v>
      </c>
      <c r="B64" s="39" t="s">
        <v>36</v>
      </c>
      <c r="C64" s="28" t="s">
        <v>40</v>
      </c>
      <c r="D64" s="28" t="s">
        <v>37</v>
      </c>
      <c r="E64" s="18"/>
      <c r="F64" s="19"/>
      <c r="G64" s="58" t="str">
        <f t="shared" si="0"/>
        <v/>
      </c>
      <c r="H64">
        <f t="shared" si="1"/>
        <v>0</v>
      </c>
    </row>
    <row r="65" spans="1:8" x14ac:dyDescent="0.25">
      <c r="A65" s="26">
        <v>46200</v>
      </c>
      <c r="B65" s="39" t="s">
        <v>36</v>
      </c>
      <c r="C65" s="28" t="s">
        <v>38</v>
      </c>
      <c r="D65" s="28" t="s">
        <v>39</v>
      </c>
      <c r="E65" s="18"/>
      <c r="F65" s="19"/>
      <c r="G65" s="58" t="str">
        <f t="shared" si="0"/>
        <v/>
      </c>
      <c r="H65">
        <f t="shared" si="1"/>
        <v>0</v>
      </c>
    </row>
    <row r="66" spans="1:8" x14ac:dyDescent="0.25">
      <c r="A66" s="26">
        <v>46200</v>
      </c>
      <c r="B66" s="40" t="s">
        <v>41</v>
      </c>
      <c r="C66" s="28" t="s">
        <v>45</v>
      </c>
      <c r="D66" s="28" t="s">
        <v>42</v>
      </c>
      <c r="E66" s="18"/>
      <c r="F66" s="19"/>
      <c r="G66" s="58" t="str">
        <f t="shared" si="0"/>
        <v/>
      </c>
      <c r="H66">
        <f t="shared" si="1"/>
        <v>0</v>
      </c>
    </row>
    <row r="67" spans="1:8" x14ac:dyDescent="0.25">
      <c r="A67" s="26">
        <v>46200</v>
      </c>
      <c r="B67" s="40" t="s">
        <v>41</v>
      </c>
      <c r="C67" s="28" t="s">
        <v>43</v>
      </c>
      <c r="D67" s="28" t="s">
        <v>44</v>
      </c>
      <c r="E67" s="18"/>
      <c r="F67" s="19"/>
      <c r="G67" s="58" t="str">
        <f t="shared" ref="G67:G73" si="2">IF(OR(E67="",F67=""),"",IF(E67&gt;F67,1,IF(F67&gt;E67,2,"X")))</f>
        <v/>
      </c>
      <c r="H67">
        <f t="shared" ref="H67:H73" si="3">SUM(E67:F67)</f>
        <v>0</v>
      </c>
    </row>
    <row r="68" spans="1:8" x14ac:dyDescent="0.25">
      <c r="A68" s="26">
        <v>46200</v>
      </c>
      <c r="B68" s="47" t="s">
        <v>61</v>
      </c>
      <c r="C68" s="28" t="s">
        <v>65</v>
      </c>
      <c r="D68" s="28" t="s">
        <v>62</v>
      </c>
      <c r="E68" s="18"/>
      <c r="F68" s="19"/>
      <c r="G68" s="58" t="str">
        <f t="shared" si="2"/>
        <v/>
      </c>
      <c r="H68">
        <f t="shared" si="3"/>
        <v>0</v>
      </c>
    </row>
    <row r="69" spans="1:8" x14ac:dyDescent="0.25">
      <c r="A69" s="29">
        <v>46200</v>
      </c>
      <c r="B69" s="46" t="s">
        <v>61</v>
      </c>
      <c r="C69" s="31" t="s">
        <v>63</v>
      </c>
      <c r="D69" s="31" t="s">
        <v>64</v>
      </c>
      <c r="E69" s="54"/>
      <c r="F69" s="55"/>
      <c r="G69" s="61" t="str">
        <f t="shared" si="2"/>
        <v/>
      </c>
      <c r="H69" s="2">
        <f t="shared" si="3"/>
        <v>0</v>
      </c>
    </row>
    <row r="70" spans="1:8" x14ac:dyDescent="0.25">
      <c r="A70" s="26">
        <v>46201</v>
      </c>
      <c r="B70" s="44" t="s">
        <v>51</v>
      </c>
      <c r="C70" s="28" t="s">
        <v>55</v>
      </c>
      <c r="D70" s="28" t="s">
        <v>52</v>
      </c>
      <c r="E70" s="18"/>
      <c r="F70" s="19"/>
      <c r="G70" s="58" t="str">
        <f t="shared" si="2"/>
        <v/>
      </c>
      <c r="H70">
        <f t="shared" si="3"/>
        <v>0</v>
      </c>
    </row>
    <row r="71" spans="1:8" x14ac:dyDescent="0.25">
      <c r="A71" s="26">
        <v>46201</v>
      </c>
      <c r="B71" s="44" t="s">
        <v>51</v>
      </c>
      <c r="C71" s="28" t="s">
        <v>53</v>
      </c>
      <c r="D71" s="28" t="s">
        <v>54</v>
      </c>
      <c r="E71" s="18"/>
      <c r="F71" s="19"/>
      <c r="G71" s="58" t="str">
        <f t="shared" si="2"/>
        <v/>
      </c>
      <c r="H71">
        <f t="shared" si="3"/>
        <v>0</v>
      </c>
    </row>
    <row r="72" spans="1:8" x14ac:dyDescent="0.25">
      <c r="A72" s="26">
        <v>46201</v>
      </c>
      <c r="B72" s="45" t="s">
        <v>56</v>
      </c>
      <c r="C72" s="28" t="s">
        <v>60</v>
      </c>
      <c r="D72" s="28" t="s">
        <v>57</v>
      </c>
      <c r="E72" s="18"/>
      <c r="F72" s="19"/>
      <c r="G72" s="58" t="str">
        <f t="shared" si="2"/>
        <v/>
      </c>
      <c r="H72">
        <f t="shared" si="3"/>
        <v>0</v>
      </c>
    </row>
    <row r="73" spans="1:8" ht="15.75" thickBot="1" x14ac:dyDescent="0.3">
      <c r="A73" s="72">
        <v>46201</v>
      </c>
      <c r="B73" s="73" t="s">
        <v>56</v>
      </c>
      <c r="C73" s="74" t="s">
        <v>58</v>
      </c>
      <c r="D73" s="74" t="s">
        <v>59</v>
      </c>
      <c r="E73" s="75"/>
      <c r="F73" s="76"/>
      <c r="G73" s="77" t="str">
        <f t="shared" si="2"/>
        <v/>
      </c>
      <c r="H73" s="64">
        <f t="shared" si="3"/>
        <v>0</v>
      </c>
    </row>
    <row r="74" spans="1:8" x14ac:dyDescent="0.25">
      <c r="H74">
        <f>SUM(H2:H73)</f>
        <v>7</v>
      </c>
    </row>
    <row r="77" spans="1:8" ht="15.75" thickBot="1" x14ac:dyDescent="0.3">
      <c r="B77" s="64" t="s">
        <v>1</v>
      </c>
      <c r="C77" s="64" t="s">
        <v>72</v>
      </c>
      <c r="D77" s="64" t="s">
        <v>73</v>
      </c>
      <c r="E77" s="64" t="s">
        <v>75</v>
      </c>
    </row>
    <row r="78" spans="1:8" x14ac:dyDescent="0.25">
      <c r="B78" s="16" t="str">
        <f t="shared" ref="B78:B125" si="4">IFERROR(INDEX($B$2:$B$73,MATCH(C78,$C$2:$C$73,0)),INDEX($B$2:$B$73,MATCH(C78,$D$2:$D$73,0)))</f>
        <v>A</v>
      </c>
      <c r="C78" t="s">
        <v>7</v>
      </c>
      <c r="D78" cm="1">
        <f t="array" ref="D78">SUMPRODUCT((($C$2:$C$73=C78)*($G$2:$G$73=1))*3) + SUMPRODUCT((($D$2:$D$73=C78)*($G$2:$G$73=2))*3) + SUMPRODUCT((($C$2:$C$73=C78)+($D$2:$D$73=C78))*($G$2:$G$73="X"))</f>
        <v>3</v>
      </c>
      <c r="E78" cm="1">
        <f t="array" ref="E78">SUMPRODUCT(($C$2:$C$73=C78)*$E$2:$E$73)+SUMPRODUCT(($D$2:$D$73=C78)*$F$2:$F$73)-SUMPRODUCT(($C$2:$C$73=C78)*$F$2:$F$73)-SUMPRODUCT(($D$2:$D$73=C78)*$E$2:$E$73)</f>
        <v>2</v>
      </c>
    </row>
    <row r="79" spans="1:8" x14ac:dyDescent="0.25">
      <c r="B79" s="16" t="str">
        <f t="shared" si="4"/>
        <v>A</v>
      </c>
      <c r="C79" t="s">
        <v>10</v>
      </c>
      <c r="D79" cm="1">
        <f t="array" ref="D79">SUMPRODUCT((($C$2:$C$73=C79)*($G$2:$G$73=1))*3) + SUMPRODUCT((($D$2:$D$73=C79)*($G$2:$G$73=2))*3) + SUMPRODUCT((($C$2:$C$73=C79)+($D$2:$D$73=C79))*($G$2:$G$73="X"))</f>
        <v>0</v>
      </c>
      <c r="E79" cm="1">
        <f t="array" ref="E79">SUMPRODUCT(($C$2:$C$73=C79)*$E$2:$E$73)+SUMPRODUCT(($D$2:$D$73=C79)*$F$2:$F$73)-SUMPRODUCT(($C$2:$C$73=C79)*$F$2:$F$73)-SUMPRODUCT(($D$2:$D$73=C79)*$E$2:$E$73)</f>
        <v>-1</v>
      </c>
    </row>
    <row r="80" spans="1:8" x14ac:dyDescent="0.25">
      <c r="B80" s="16" t="str">
        <f t="shared" si="4"/>
        <v>A</v>
      </c>
      <c r="C80" t="s">
        <v>8</v>
      </c>
      <c r="D80" cm="1">
        <f t="array" ref="D80">SUMPRODUCT((($C$2:$C$73=C80)*($G$2:$G$73=1))*3) + SUMPRODUCT((($D$2:$D$73=C80)*($G$2:$G$73=2))*3) + SUMPRODUCT((($C$2:$C$73=C80)+($D$2:$D$73=C80))*($G$2:$G$73="X"))</f>
        <v>0</v>
      </c>
      <c r="E80" cm="1">
        <f t="array" ref="E80">SUMPRODUCT(($C$2:$C$73=C80)*$E$2:$E$73)+SUMPRODUCT(($D$2:$D$73=C80)*$F$2:$F$73)-SUMPRODUCT(($C$2:$C$73=C80)*$F$2:$F$73)-SUMPRODUCT(($D$2:$D$73=C80)*$E$2:$E$73)</f>
        <v>-2</v>
      </c>
    </row>
    <row r="81" spans="2:5" ht="15.75" thickBot="1" x14ac:dyDescent="0.3">
      <c r="B81" s="114" t="str">
        <f t="shared" si="4"/>
        <v>A</v>
      </c>
      <c r="C81" s="64" t="s">
        <v>9</v>
      </c>
      <c r="D81" s="64" cm="1">
        <f t="array" ref="D81">SUMPRODUCT((($C$2:$C$73=C81)*($G$2:$G$73=1))*3) + SUMPRODUCT((($D$2:$D$73=C81)*($G$2:$G$73=2))*3) + SUMPRODUCT((($C$2:$C$73=C81)+($D$2:$D$73=C81))*($G$2:$G$73="X"))</f>
        <v>3</v>
      </c>
      <c r="E81" s="64" cm="1">
        <f t="array" ref="E81">SUMPRODUCT(($C$2:$C$73=C81)*$E$2:$E$73)+SUMPRODUCT(($D$2:$D$73=C81)*$F$2:$F$73)-SUMPRODUCT(($C$2:$C$73=C81)*$F$2:$F$73)-SUMPRODUCT(($D$2:$D$73=C81)*$E$2:$E$73)</f>
        <v>1</v>
      </c>
    </row>
    <row r="82" spans="2:5" x14ac:dyDescent="0.25">
      <c r="B82" s="16" t="str">
        <f t="shared" si="4"/>
        <v>B</v>
      </c>
      <c r="C82" t="s">
        <v>13</v>
      </c>
      <c r="D82" cm="1">
        <f t="array" ref="D82">SUMPRODUCT((($C$2:$C$73=C82)*($G$2:$G$73=1))*3) + SUMPRODUCT((($D$2:$D$73=C82)*($G$2:$G$73=2))*3) + SUMPRODUCT((($C$2:$C$73=C82)+($D$2:$D$73=C82))*($G$2:$G$73="X"))</f>
        <v>1</v>
      </c>
      <c r="E82" cm="1">
        <f t="array" ref="E82">SUMPRODUCT(($C$2:$C$73=C82)*$E$2:$E$73)+SUMPRODUCT(($D$2:$D$73=C82)*$F$2:$F$73)-SUMPRODUCT(($C$2:$C$73=C82)*$F$2:$F$73)-SUMPRODUCT(($D$2:$D$73=C82)*$E$2:$E$73)</f>
        <v>0</v>
      </c>
    </row>
    <row r="83" spans="2:5" x14ac:dyDescent="0.25">
      <c r="B83" s="16" t="str">
        <f t="shared" si="4"/>
        <v>B</v>
      </c>
      <c r="C83" t="s">
        <v>12</v>
      </c>
      <c r="D83" cm="1">
        <f t="array" ref="D83">SUMPRODUCT((($C$2:$C$73=C83)*($G$2:$G$73=1))*3) + SUMPRODUCT((($D$2:$D$73=C83)*($G$2:$G$73=2))*3) + SUMPRODUCT((($C$2:$C$73=C83)+($D$2:$D$73=C83))*($G$2:$G$73="X"))</f>
        <v>1</v>
      </c>
      <c r="E83" cm="1">
        <f t="array" ref="E83">SUMPRODUCT(($C$2:$C$73=C83)*$E$2:$E$73)+SUMPRODUCT(($D$2:$D$73=C83)*$F$2:$F$73)-SUMPRODUCT(($C$2:$C$73=C83)*$F$2:$F$73)-SUMPRODUCT(($D$2:$D$73=C83)*$E$2:$E$73)</f>
        <v>0</v>
      </c>
    </row>
    <row r="84" spans="2:5" x14ac:dyDescent="0.25">
      <c r="B84" s="16" t="str">
        <f t="shared" si="4"/>
        <v>B</v>
      </c>
      <c r="C84" t="s">
        <v>14</v>
      </c>
      <c r="D84" cm="1">
        <f t="array" ref="D84">SUMPRODUCT((($C$2:$C$73=C84)*($G$2:$G$73=1))*3) + SUMPRODUCT((($D$2:$D$73=C84)*($G$2:$G$73=2))*3) + SUMPRODUCT((($C$2:$C$73=C84)+($D$2:$D$73=C84))*($G$2:$G$73="X"))</f>
        <v>0</v>
      </c>
      <c r="E84" cm="1">
        <f t="array" ref="E84">SUMPRODUCT(($C$2:$C$73=C84)*$E$2:$E$73)+SUMPRODUCT(($D$2:$D$73=C84)*$F$2:$F$73)-SUMPRODUCT(($C$2:$C$73=C84)*$F$2:$F$73)-SUMPRODUCT(($D$2:$D$73=C84)*$E$2:$E$73)</f>
        <v>0</v>
      </c>
    </row>
    <row r="85" spans="2:5" ht="15.75" thickBot="1" x14ac:dyDescent="0.3">
      <c r="B85" s="114" t="str">
        <f t="shared" si="4"/>
        <v>B</v>
      </c>
      <c r="C85" s="64" t="s">
        <v>15</v>
      </c>
      <c r="D85" s="64" cm="1">
        <f t="array" ref="D85">SUMPRODUCT((($C$2:$C$73=C85)*($G$2:$G$73=1))*3) + SUMPRODUCT((($D$2:$D$73=C85)*($G$2:$G$73=2))*3) + SUMPRODUCT((($C$2:$C$73=C85)+($D$2:$D$73=C85))*($G$2:$G$73="X"))</f>
        <v>0</v>
      </c>
      <c r="E85" s="64" cm="1">
        <f t="array" ref="E85">SUMPRODUCT(($C$2:$C$73=C85)*$E$2:$E$73)+SUMPRODUCT(($D$2:$D$73=C85)*$F$2:$F$73)-SUMPRODUCT(($C$2:$C$73=C85)*$F$2:$F$73)-SUMPRODUCT(($D$2:$D$73=C85)*$E$2:$E$73)</f>
        <v>0</v>
      </c>
    </row>
    <row r="86" spans="2:5" x14ac:dyDescent="0.25">
      <c r="B86" s="16" t="str">
        <f t="shared" si="4"/>
        <v>C</v>
      </c>
      <c r="C86" t="s">
        <v>17</v>
      </c>
      <c r="D86" cm="1">
        <f t="array" ref="D86">SUMPRODUCT((($C$2:$C$73=C86)*($G$2:$G$73=1))*3) + SUMPRODUCT((($D$2:$D$73=C86)*($G$2:$G$73=2))*3) + SUMPRODUCT((($C$2:$C$73=C86)+($D$2:$D$73=C86))*($G$2:$G$73="X"))</f>
        <v>0</v>
      </c>
      <c r="E86" cm="1">
        <f t="array" ref="E86">SUMPRODUCT(($C$2:$C$73=C86)*$E$2:$E$73)+SUMPRODUCT(($D$2:$D$73=C86)*$F$2:$F$73)-SUMPRODUCT(($C$2:$C$73=C86)*$F$2:$F$73)-SUMPRODUCT(($D$2:$D$73=C86)*$E$2:$E$73)</f>
        <v>0</v>
      </c>
    </row>
    <row r="87" spans="2:5" x14ac:dyDescent="0.25">
      <c r="B87" s="16" t="str">
        <f t="shared" si="4"/>
        <v>C</v>
      </c>
      <c r="C87" t="s">
        <v>19</v>
      </c>
      <c r="D87" cm="1">
        <f t="array" ref="D87">SUMPRODUCT((($C$2:$C$73=C87)*($G$2:$G$73=1))*3) + SUMPRODUCT((($D$2:$D$73=C87)*($G$2:$G$73=2))*3) + SUMPRODUCT((($C$2:$C$73=C87)+($D$2:$D$73=C87))*($G$2:$G$73="X"))</f>
        <v>0</v>
      </c>
      <c r="E87" cm="1">
        <f t="array" ref="E87">SUMPRODUCT(($C$2:$C$73=C87)*$E$2:$E$73)+SUMPRODUCT(($D$2:$D$73=C87)*$F$2:$F$73)-SUMPRODUCT(($C$2:$C$73=C87)*$F$2:$F$73)-SUMPRODUCT(($D$2:$D$73=C87)*$E$2:$E$73)</f>
        <v>0</v>
      </c>
    </row>
    <row r="88" spans="2:5" x14ac:dyDescent="0.25">
      <c r="B88" s="16" t="str">
        <f t="shared" si="4"/>
        <v>C</v>
      </c>
      <c r="C88" t="s">
        <v>18</v>
      </c>
      <c r="D88" cm="1">
        <f t="array" ref="D88">SUMPRODUCT((($C$2:$C$73=C88)*($G$2:$G$73=1))*3) + SUMPRODUCT((($D$2:$D$73=C88)*($G$2:$G$73=2))*3) + SUMPRODUCT((($C$2:$C$73=C88)+($D$2:$D$73=C88))*($G$2:$G$73="X"))</f>
        <v>0</v>
      </c>
      <c r="E88" cm="1">
        <f t="array" ref="E88">SUMPRODUCT(($C$2:$C$73=C88)*$E$2:$E$73)+SUMPRODUCT(($D$2:$D$73=C88)*$F$2:$F$73)-SUMPRODUCT(($C$2:$C$73=C88)*$F$2:$F$73)-SUMPRODUCT(($D$2:$D$73=C88)*$E$2:$E$73)</f>
        <v>0</v>
      </c>
    </row>
    <row r="89" spans="2:5" ht="15.75" thickBot="1" x14ac:dyDescent="0.3">
      <c r="B89" s="114" t="str">
        <f t="shared" si="4"/>
        <v>C</v>
      </c>
      <c r="C89" s="64" t="s">
        <v>20</v>
      </c>
      <c r="D89" s="64" cm="1">
        <f t="array" ref="D89">SUMPRODUCT((($C$2:$C$73=C89)*($G$2:$G$73=1))*3) + SUMPRODUCT((($D$2:$D$73=C89)*($G$2:$G$73=2))*3) + SUMPRODUCT((($C$2:$C$73=C89)+($D$2:$D$73=C89))*($G$2:$G$73="X"))</f>
        <v>0</v>
      </c>
      <c r="E89" s="64" cm="1">
        <f t="array" ref="E89">SUMPRODUCT(($C$2:$C$73=C89)*$E$2:$E$73)+SUMPRODUCT(($D$2:$D$73=C89)*$F$2:$F$73)-SUMPRODUCT(($C$2:$C$73=C89)*$F$2:$F$73)-SUMPRODUCT(($D$2:$D$73=C89)*$E$2:$E$73)</f>
        <v>0</v>
      </c>
    </row>
    <row r="90" spans="2:5" x14ac:dyDescent="0.25">
      <c r="B90" s="16" t="str">
        <f t="shared" si="4"/>
        <v>D</v>
      </c>
      <c r="C90" t="s">
        <v>24</v>
      </c>
      <c r="D90" cm="1">
        <f t="array" ref="D90">SUMPRODUCT((($C$2:$C$73=C90)*($G$2:$G$73=1))*3) + SUMPRODUCT((($D$2:$D$73=C90)*($G$2:$G$73=2))*3) + SUMPRODUCT((($C$2:$C$73=C90)+($D$2:$D$73=C90))*($G$2:$G$73="X"))</f>
        <v>0</v>
      </c>
      <c r="E90" cm="1">
        <f t="array" ref="E90">SUMPRODUCT(($C$2:$C$73=C90)*$E$2:$E$73)+SUMPRODUCT(($D$2:$D$73=C90)*$F$2:$F$73)-SUMPRODUCT(($C$2:$C$73=C90)*$F$2:$F$73)-SUMPRODUCT(($D$2:$D$73=C90)*$E$2:$E$73)</f>
        <v>0</v>
      </c>
    </row>
    <row r="91" spans="2:5" x14ac:dyDescent="0.25">
      <c r="B91" s="16" t="str">
        <f t="shared" si="4"/>
        <v>D</v>
      </c>
      <c r="C91" t="s">
        <v>23</v>
      </c>
      <c r="D91" cm="1">
        <f t="array" ref="D91">SUMPRODUCT((($C$2:$C$73=C91)*($G$2:$G$73=1))*3) + SUMPRODUCT((($D$2:$D$73=C91)*($G$2:$G$73=2))*3) + SUMPRODUCT((($C$2:$C$73=C91)+($D$2:$D$73=C91))*($G$2:$G$73="X"))</f>
        <v>0</v>
      </c>
      <c r="E91" cm="1">
        <f t="array" ref="E91">SUMPRODUCT(($C$2:$C$73=C91)*$E$2:$E$73)+SUMPRODUCT(($D$2:$D$73=C91)*$F$2:$F$73)-SUMPRODUCT(($C$2:$C$73=C91)*$F$2:$F$73)-SUMPRODUCT(($D$2:$D$73=C91)*$E$2:$E$73)</f>
        <v>0</v>
      </c>
    </row>
    <row r="92" spans="2:5" x14ac:dyDescent="0.25">
      <c r="B92" s="16" t="str">
        <f t="shared" si="4"/>
        <v>D</v>
      </c>
      <c r="C92" t="s">
        <v>25</v>
      </c>
      <c r="D92" cm="1">
        <f t="array" ref="D92">SUMPRODUCT((($C$2:$C$73=C92)*($G$2:$G$73=1))*3) + SUMPRODUCT((($D$2:$D$73=C92)*($G$2:$G$73=2))*3) + SUMPRODUCT((($C$2:$C$73=C92)+($D$2:$D$73=C92))*($G$2:$G$73="X"))</f>
        <v>0</v>
      </c>
      <c r="E92" cm="1">
        <f t="array" ref="E92">SUMPRODUCT(($C$2:$C$73=C92)*$E$2:$E$73)+SUMPRODUCT(($D$2:$D$73=C92)*$F$2:$F$73)-SUMPRODUCT(($C$2:$C$73=C92)*$F$2:$F$73)-SUMPRODUCT(($D$2:$D$73=C92)*$E$2:$E$73)</f>
        <v>0</v>
      </c>
    </row>
    <row r="93" spans="2:5" ht="15.75" thickBot="1" x14ac:dyDescent="0.3">
      <c r="B93" s="114" t="str">
        <f t="shared" si="4"/>
        <v>D</v>
      </c>
      <c r="C93" s="64" t="s">
        <v>22</v>
      </c>
      <c r="D93" s="64" cm="1">
        <f t="array" ref="D93">SUMPRODUCT((($C$2:$C$73=C93)*($G$2:$G$73=1))*3) + SUMPRODUCT((($D$2:$D$73=C93)*($G$2:$G$73=2))*3) + SUMPRODUCT((($C$2:$C$73=C93)+($D$2:$D$73=C93))*($G$2:$G$73="X"))</f>
        <v>0</v>
      </c>
      <c r="E93" s="64" cm="1">
        <f t="array" ref="E93">SUMPRODUCT(($C$2:$C$73=C93)*$E$2:$E$73)+SUMPRODUCT(($D$2:$D$73=C93)*$F$2:$F$73)-SUMPRODUCT(($C$2:$C$73=C93)*$F$2:$F$73)-SUMPRODUCT(($D$2:$D$73=C93)*$E$2:$E$73)</f>
        <v>0</v>
      </c>
    </row>
    <row r="94" spans="2:5" x14ac:dyDescent="0.25">
      <c r="B94" s="16" t="str">
        <f t="shared" si="4"/>
        <v>E</v>
      </c>
      <c r="C94" t="s">
        <v>28</v>
      </c>
      <c r="D94" cm="1">
        <f t="array" ref="D94">SUMPRODUCT((($C$2:$C$73=C94)*($G$2:$G$73=1))*3) + SUMPRODUCT((($D$2:$D$73=C94)*($G$2:$G$73=2))*3) + SUMPRODUCT((($C$2:$C$73=C94)+($D$2:$D$73=C94))*($G$2:$G$73="X"))</f>
        <v>0</v>
      </c>
      <c r="E94" cm="1">
        <f t="array" ref="E94">SUMPRODUCT(($C$2:$C$73=C94)*$E$2:$E$73)+SUMPRODUCT(($D$2:$D$73=C94)*$F$2:$F$73)-SUMPRODUCT(($C$2:$C$73=C94)*$F$2:$F$73)-SUMPRODUCT(($D$2:$D$73=C94)*$E$2:$E$73)</f>
        <v>0</v>
      </c>
    </row>
    <row r="95" spans="2:5" x14ac:dyDescent="0.25">
      <c r="B95" s="16" t="str">
        <f t="shared" si="4"/>
        <v>E</v>
      </c>
      <c r="C95" t="s">
        <v>29</v>
      </c>
      <c r="D95" cm="1">
        <f t="array" ref="D95">SUMPRODUCT((($C$2:$C$73=C95)*($G$2:$G$73=1))*3) + SUMPRODUCT((($D$2:$D$73=C95)*($G$2:$G$73=2))*3) + SUMPRODUCT((($C$2:$C$73=C95)+($D$2:$D$73=C95))*($G$2:$G$73="X"))</f>
        <v>0</v>
      </c>
      <c r="E95" cm="1">
        <f t="array" ref="E95">SUMPRODUCT(($C$2:$C$73=C95)*$E$2:$E$73)+SUMPRODUCT(($D$2:$D$73=C95)*$F$2:$F$73)-SUMPRODUCT(($C$2:$C$73=C95)*$F$2:$F$73)-SUMPRODUCT(($D$2:$D$73=C95)*$E$2:$E$73)</f>
        <v>0</v>
      </c>
    </row>
    <row r="96" spans="2:5" x14ac:dyDescent="0.25">
      <c r="B96" s="16" t="str">
        <f t="shared" si="4"/>
        <v>E</v>
      </c>
      <c r="C96" t="s">
        <v>30</v>
      </c>
      <c r="D96" cm="1">
        <f t="array" ref="D96">SUMPRODUCT((($C$2:$C$73=C96)*($G$2:$G$73=1))*3) + SUMPRODUCT((($D$2:$D$73=C96)*($G$2:$G$73=2))*3) + SUMPRODUCT((($C$2:$C$73=C96)+($D$2:$D$73=C96))*($G$2:$G$73="X"))</f>
        <v>0</v>
      </c>
      <c r="E96" cm="1">
        <f t="array" ref="E96">SUMPRODUCT(($C$2:$C$73=C96)*$E$2:$E$73)+SUMPRODUCT(($D$2:$D$73=C96)*$F$2:$F$73)-SUMPRODUCT(($C$2:$C$73=C96)*$F$2:$F$73)-SUMPRODUCT(($D$2:$D$73=C96)*$E$2:$E$73)</f>
        <v>0</v>
      </c>
    </row>
    <row r="97" spans="2:5" ht="15.75" thickBot="1" x14ac:dyDescent="0.3">
      <c r="B97" s="114" t="str">
        <f t="shared" si="4"/>
        <v>E</v>
      </c>
      <c r="C97" s="64" t="s">
        <v>27</v>
      </c>
      <c r="D97" s="64" cm="1">
        <f t="array" ref="D97">SUMPRODUCT((($C$2:$C$73=C97)*($G$2:$G$73=1))*3) + SUMPRODUCT((($D$2:$D$73=C97)*($G$2:$G$73=2))*3) + SUMPRODUCT((($C$2:$C$73=C97)+($D$2:$D$73=C97))*($G$2:$G$73="X"))</f>
        <v>0</v>
      </c>
      <c r="E97" s="64" cm="1">
        <f t="array" ref="E97">SUMPRODUCT(($C$2:$C$73=C97)*$E$2:$E$73)+SUMPRODUCT(($D$2:$D$73=C97)*$F$2:$F$73)-SUMPRODUCT(($C$2:$C$73=C97)*$F$2:$F$73)-SUMPRODUCT(($D$2:$D$73=C97)*$E$2:$E$73)</f>
        <v>0</v>
      </c>
    </row>
    <row r="98" spans="2:5" x14ac:dyDescent="0.25">
      <c r="B98" s="16" t="str">
        <f t="shared" si="4"/>
        <v>F</v>
      </c>
      <c r="C98" t="s">
        <v>33</v>
      </c>
      <c r="D98" cm="1">
        <f t="array" ref="D98">SUMPRODUCT((($C$2:$C$73=C98)*($G$2:$G$73=1))*3) + SUMPRODUCT((($D$2:$D$73=C98)*($G$2:$G$73=2))*3) + SUMPRODUCT((($C$2:$C$73=C98)+($D$2:$D$73=C98))*($G$2:$G$73="X"))</f>
        <v>0</v>
      </c>
      <c r="E98" cm="1">
        <f t="array" ref="E98">SUMPRODUCT(($C$2:$C$73=C98)*$E$2:$E$73)+SUMPRODUCT(($D$2:$D$73=C98)*$F$2:$F$73)-SUMPRODUCT(($C$2:$C$73=C98)*$F$2:$F$73)-SUMPRODUCT(($D$2:$D$73=C98)*$E$2:$E$73)</f>
        <v>0</v>
      </c>
    </row>
    <row r="99" spans="2:5" x14ac:dyDescent="0.25">
      <c r="B99" s="16" t="str">
        <f t="shared" si="4"/>
        <v>F</v>
      </c>
      <c r="C99" t="s">
        <v>32</v>
      </c>
      <c r="D99" cm="1">
        <f t="array" ref="D99">SUMPRODUCT((($C$2:$C$73=C99)*($G$2:$G$73=1))*3) + SUMPRODUCT((($D$2:$D$73=C99)*($G$2:$G$73=2))*3) + SUMPRODUCT((($C$2:$C$73=C99)+($D$2:$D$73=C99))*($G$2:$G$73="X"))</f>
        <v>0</v>
      </c>
      <c r="E99" cm="1">
        <f t="array" ref="E99">SUMPRODUCT(($C$2:$C$73=C99)*$E$2:$E$73)+SUMPRODUCT(($D$2:$D$73=C99)*$F$2:$F$73)-SUMPRODUCT(($C$2:$C$73=C99)*$F$2:$F$73)-SUMPRODUCT(($D$2:$D$73=C99)*$E$2:$E$73)</f>
        <v>0</v>
      </c>
    </row>
    <row r="100" spans="2:5" x14ac:dyDescent="0.25">
      <c r="B100" s="16" t="str">
        <f t="shared" si="4"/>
        <v>F</v>
      </c>
      <c r="C100" t="s">
        <v>34</v>
      </c>
      <c r="D100" cm="1">
        <f t="array" ref="D100">SUMPRODUCT((($C$2:$C$73=C100)*($G$2:$G$73=1))*3) + SUMPRODUCT((($D$2:$D$73=C100)*($G$2:$G$73=2))*3) + SUMPRODUCT((($C$2:$C$73=C100)+($D$2:$D$73=C100))*($G$2:$G$73="X"))</f>
        <v>0</v>
      </c>
      <c r="E100" cm="1">
        <f t="array" ref="E100">SUMPRODUCT(($C$2:$C$73=C100)*$E$2:$E$73)+SUMPRODUCT(($D$2:$D$73=C100)*$F$2:$F$73)-SUMPRODUCT(($C$2:$C$73=C100)*$F$2:$F$73)-SUMPRODUCT(($D$2:$D$73=C100)*$E$2:$E$73)</f>
        <v>0</v>
      </c>
    </row>
    <row r="101" spans="2:5" ht="15.75" thickBot="1" x14ac:dyDescent="0.3">
      <c r="B101" s="114" t="str">
        <f t="shared" si="4"/>
        <v>F</v>
      </c>
      <c r="C101" s="64" t="s">
        <v>35</v>
      </c>
      <c r="D101" s="64" cm="1">
        <f t="array" ref="D101">SUMPRODUCT((($C$2:$C$73=C101)*($G$2:$G$73=1))*3) + SUMPRODUCT((($D$2:$D$73=C101)*($G$2:$G$73=2))*3) + SUMPRODUCT((($C$2:$C$73=C101)+($D$2:$D$73=C101))*($G$2:$G$73="X"))</f>
        <v>0</v>
      </c>
      <c r="E101" s="64" cm="1">
        <f t="array" ref="E101">SUMPRODUCT(($C$2:$C$73=C101)*$E$2:$E$73)+SUMPRODUCT(($D$2:$D$73=C101)*$F$2:$F$73)-SUMPRODUCT(($C$2:$C$73=C101)*$F$2:$F$73)-SUMPRODUCT(($D$2:$D$73=C101)*$E$2:$E$73)</f>
        <v>0</v>
      </c>
    </row>
    <row r="102" spans="2:5" x14ac:dyDescent="0.25">
      <c r="B102" s="16" t="str">
        <f t="shared" si="4"/>
        <v>G</v>
      </c>
      <c r="C102" t="s">
        <v>37</v>
      </c>
      <c r="D102" cm="1">
        <f t="array" ref="D102">SUMPRODUCT((($C$2:$C$73=C102)*($G$2:$G$73=1))*3) + SUMPRODUCT((($D$2:$D$73=C102)*($G$2:$G$73=2))*3) + SUMPRODUCT((($C$2:$C$73=C102)+($D$2:$D$73=C102))*($G$2:$G$73="X"))</f>
        <v>0</v>
      </c>
      <c r="E102" cm="1">
        <f t="array" ref="E102">SUMPRODUCT(($C$2:$C$73=C102)*$E$2:$E$73)+SUMPRODUCT(($D$2:$D$73=C102)*$F$2:$F$73)-SUMPRODUCT(($C$2:$C$73=C102)*$F$2:$F$73)-SUMPRODUCT(($D$2:$D$73=C102)*$E$2:$E$73)</f>
        <v>0</v>
      </c>
    </row>
    <row r="103" spans="2:5" x14ac:dyDescent="0.25">
      <c r="B103" s="16" t="str">
        <f t="shared" si="4"/>
        <v>G</v>
      </c>
      <c r="C103" t="s">
        <v>38</v>
      </c>
      <c r="D103" cm="1">
        <f t="array" ref="D103">SUMPRODUCT((($C$2:$C$73=C103)*($G$2:$G$73=1))*3) + SUMPRODUCT((($D$2:$D$73=C103)*($G$2:$G$73=2))*3) + SUMPRODUCT((($C$2:$C$73=C103)+($D$2:$D$73=C103))*($G$2:$G$73="X"))</f>
        <v>0</v>
      </c>
      <c r="E103" cm="1">
        <f t="array" ref="E103">SUMPRODUCT(($C$2:$C$73=C103)*$E$2:$E$73)+SUMPRODUCT(($D$2:$D$73=C103)*$F$2:$F$73)-SUMPRODUCT(($C$2:$C$73=C103)*$F$2:$F$73)-SUMPRODUCT(($D$2:$D$73=C103)*$E$2:$E$73)</f>
        <v>0</v>
      </c>
    </row>
    <row r="104" spans="2:5" x14ac:dyDescent="0.25">
      <c r="B104" s="16" t="str">
        <f t="shared" si="4"/>
        <v>G</v>
      </c>
      <c r="C104" t="s">
        <v>39</v>
      </c>
      <c r="D104" cm="1">
        <f t="array" ref="D104">SUMPRODUCT((($C$2:$C$73=C104)*($G$2:$G$73=1))*3) + SUMPRODUCT((($D$2:$D$73=C104)*($G$2:$G$73=2))*3) + SUMPRODUCT((($C$2:$C$73=C104)+($D$2:$D$73=C104))*($G$2:$G$73="X"))</f>
        <v>0</v>
      </c>
      <c r="E104" cm="1">
        <f t="array" ref="E104">SUMPRODUCT(($C$2:$C$73=C104)*$E$2:$E$73)+SUMPRODUCT(($D$2:$D$73=C104)*$F$2:$F$73)-SUMPRODUCT(($C$2:$C$73=C104)*$F$2:$F$73)-SUMPRODUCT(($D$2:$D$73=C104)*$E$2:$E$73)</f>
        <v>0</v>
      </c>
    </row>
    <row r="105" spans="2:5" ht="15.75" thickBot="1" x14ac:dyDescent="0.3">
      <c r="B105" s="114" t="str">
        <f t="shared" si="4"/>
        <v>G</v>
      </c>
      <c r="C105" s="64" t="s">
        <v>40</v>
      </c>
      <c r="D105" s="64" cm="1">
        <f t="array" ref="D105">SUMPRODUCT((($C$2:$C$73=C105)*($G$2:$G$73=1))*3) + SUMPRODUCT((($D$2:$D$73=C105)*($G$2:$G$73=2))*3) + SUMPRODUCT((($C$2:$C$73=C105)+($D$2:$D$73=C105))*($G$2:$G$73="X"))</f>
        <v>0</v>
      </c>
      <c r="E105" s="64" cm="1">
        <f t="array" ref="E105">SUMPRODUCT(($C$2:$C$73=C105)*$E$2:$E$73)+SUMPRODUCT(($D$2:$D$73=C105)*$F$2:$F$73)-SUMPRODUCT(($C$2:$C$73=C105)*$F$2:$F$73)-SUMPRODUCT(($D$2:$D$73=C105)*$E$2:$E$73)</f>
        <v>0</v>
      </c>
    </row>
    <row r="106" spans="2:5" x14ac:dyDescent="0.25">
      <c r="B106" s="16" t="str">
        <f t="shared" si="4"/>
        <v>H</v>
      </c>
      <c r="C106" t="s">
        <v>43</v>
      </c>
      <c r="D106" cm="1">
        <f t="array" ref="D106">SUMPRODUCT((($C$2:$C$73=C106)*($G$2:$G$73=1))*3) + SUMPRODUCT((($D$2:$D$73=C106)*($G$2:$G$73=2))*3) + SUMPRODUCT((($C$2:$C$73=C106)+($D$2:$D$73=C106))*($G$2:$G$73="X"))</f>
        <v>0</v>
      </c>
      <c r="E106" cm="1">
        <f t="array" ref="E106">SUMPRODUCT(($C$2:$C$73=C106)*$E$2:$E$73)+SUMPRODUCT(($D$2:$D$73=C106)*$F$2:$F$73)-SUMPRODUCT(($C$2:$C$73=C106)*$F$2:$F$73)-SUMPRODUCT(($D$2:$D$73=C106)*$E$2:$E$73)</f>
        <v>0</v>
      </c>
    </row>
    <row r="107" spans="2:5" x14ac:dyDescent="0.25">
      <c r="B107" s="16" t="str">
        <f t="shared" si="4"/>
        <v>H</v>
      </c>
      <c r="C107" t="s">
        <v>44</v>
      </c>
      <c r="D107" cm="1">
        <f t="array" ref="D107">SUMPRODUCT((($C$2:$C$73=C107)*($G$2:$G$73=1))*3) + SUMPRODUCT((($D$2:$D$73=C107)*($G$2:$G$73=2))*3) + SUMPRODUCT((($C$2:$C$73=C107)+($D$2:$D$73=C107))*($G$2:$G$73="X"))</f>
        <v>0</v>
      </c>
      <c r="E107" cm="1">
        <f t="array" ref="E107">SUMPRODUCT(($C$2:$C$73=C107)*$E$2:$E$73)+SUMPRODUCT(($D$2:$D$73=C107)*$F$2:$F$73)-SUMPRODUCT(($C$2:$C$73=C107)*$F$2:$F$73)-SUMPRODUCT(($D$2:$D$73=C107)*$E$2:$E$73)</f>
        <v>0</v>
      </c>
    </row>
    <row r="108" spans="2:5" x14ac:dyDescent="0.25">
      <c r="B108" s="16" t="str">
        <f t="shared" si="4"/>
        <v>H</v>
      </c>
      <c r="C108" t="s">
        <v>42</v>
      </c>
      <c r="D108" cm="1">
        <f t="array" ref="D108">SUMPRODUCT((($C$2:$C$73=C108)*($G$2:$G$73=1))*3) + SUMPRODUCT((($D$2:$D$73=C108)*($G$2:$G$73=2))*3) + SUMPRODUCT((($C$2:$C$73=C108)+($D$2:$D$73=C108))*($G$2:$G$73="X"))</f>
        <v>0</v>
      </c>
      <c r="E108" cm="1">
        <f t="array" ref="E108">SUMPRODUCT(($C$2:$C$73=C108)*$E$2:$E$73)+SUMPRODUCT(($D$2:$D$73=C108)*$F$2:$F$73)-SUMPRODUCT(($C$2:$C$73=C108)*$F$2:$F$73)-SUMPRODUCT(($D$2:$D$73=C108)*$E$2:$E$73)</f>
        <v>0</v>
      </c>
    </row>
    <row r="109" spans="2:5" ht="15.75" thickBot="1" x14ac:dyDescent="0.3">
      <c r="B109" s="114" t="str">
        <f t="shared" si="4"/>
        <v>H</v>
      </c>
      <c r="C109" s="64" t="s">
        <v>45</v>
      </c>
      <c r="D109" s="64" cm="1">
        <f t="array" ref="D109">SUMPRODUCT((($C$2:$C$73=C109)*($G$2:$G$73=1))*3) + SUMPRODUCT((($D$2:$D$73=C109)*($G$2:$G$73=2))*3) + SUMPRODUCT((($C$2:$C$73=C109)+($D$2:$D$73=C109))*($G$2:$G$73="X"))</f>
        <v>0</v>
      </c>
      <c r="E109" s="64" cm="1">
        <f t="array" ref="E109">SUMPRODUCT(($C$2:$C$73=C109)*$E$2:$E$73)+SUMPRODUCT(($D$2:$D$73=C109)*$F$2:$F$73)-SUMPRODUCT(($C$2:$C$73=C109)*$F$2:$F$73)-SUMPRODUCT(($D$2:$D$73=C109)*$E$2:$E$73)</f>
        <v>0</v>
      </c>
    </row>
    <row r="110" spans="2:5" x14ac:dyDescent="0.25">
      <c r="B110" s="16" t="str">
        <f t="shared" si="4"/>
        <v>I</v>
      </c>
      <c r="C110" t="s">
        <v>47</v>
      </c>
      <c r="D110" cm="1">
        <f t="array" ref="D110">SUMPRODUCT((($C$2:$C$73=C110)*($G$2:$G$73=1))*3) + SUMPRODUCT((($D$2:$D$73=C110)*($G$2:$G$73=2))*3) + SUMPRODUCT((($C$2:$C$73=C110)+($D$2:$D$73=C110))*($G$2:$G$73="X"))</f>
        <v>0</v>
      </c>
      <c r="E110" cm="1">
        <f t="array" ref="E110">SUMPRODUCT(($C$2:$C$73=C110)*$E$2:$E$73)+SUMPRODUCT(($D$2:$D$73=C110)*$F$2:$F$73)-SUMPRODUCT(($C$2:$C$73=C110)*$F$2:$F$73)-SUMPRODUCT(($D$2:$D$73=C110)*$E$2:$E$73)</f>
        <v>0</v>
      </c>
    </row>
    <row r="111" spans="2:5" x14ac:dyDescent="0.25">
      <c r="B111" s="16" t="str">
        <f t="shared" si="4"/>
        <v>I</v>
      </c>
      <c r="C111" t="s">
        <v>49</v>
      </c>
      <c r="D111" cm="1">
        <f t="array" ref="D111">SUMPRODUCT((($C$2:$C$73=C111)*($G$2:$G$73=1))*3) + SUMPRODUCT((($D$2:$D$73=C111)*($G$2:$G$73=2))*3) + SUMPRODUCT((($C$2:$C$73=C111)+($D$2:$D$73=C111))*($G$2:$G$73="X"))</f>
        <v>0</v>
      </c>
      <c r="E111" cm="1">
        <f t="array" ref="E111">SUMPRODUCT(($C$2:$C$73=C111)*$E$2:$E$73)+SUMPRODUCT(($D$2:$D$73=C111)*$F$2:$F$73)-SUMPRODUCT(($C$2:$C$73=C111)*$F$2:$F$73)-SUMPRODUCT(($D$2:$D$73=C111)*$E$2:$E$73)</f>
        <v>0</v>
      </c>
    </row>
    <row r="112" spans="2:5" x14ac:dyDescent="0.25">
      <c r="B112" s="16" t="str">
        <f t="shared" si="4"/>
        <v>I</v>
      </c>
      <c r="C112" t="s">
        <v>50</v>
      </c>
      <c r="D112" cm="1">
        <f t="array" ref="D112">SUMPRODUCT((($C$2:$C$73=C112)*($G$2:$G$73=1))*3) + SUMPRODUCT((($D$2:$D$73=C112)*($G$2:$G$73=2))*3) + SUMPRODUCT((($C$2:$C$73=C112)+($D$2:$D$73=C112))*($G$2:$G$73="X"))</f>
        <v>0</v>
      </c>
      <c r="E112" cm="1">
        <f t="array" ref="E112">SUMPRODUCT(($C$2:$C$73=C112)*$E$2:$E$73)+SUMPRODUCT(($D$2:$D$73=C112)*$F$2:$F$73)-SUMPRODUCT(($C$2:$C$73=C112)*$F$2:$F$73)-SUMPRODUCT(($D$2:$D$73=C112)*$E$2:$E$73)</f>
        <v>0</v>
      </c>
    </row>
    <row r="113" spans="2:5" ht="15.75" thickBot="1" x14ac:dyDescent="0.3">
      <c r="B113" s="114" t="str">
        <f t="shared" si="4"/>
        <v>I</v>
      </c>
      <c r="C113" s="64" t="s">
        <v>48</v>
      </c>
      <c r="D113" s="64" cm="1">
        <f t="array" ref="D113">SUMPRODUCT((($C$2:$C$73=C113)*($G$2:$G$73=1))*3) + SUMPRODUCT((($D$2:$D$73=C113)*($G$2:$G$73=2))*3) + SUMPRODUCT((($C$2:$C$73=C113)+($D$2:$D$73=C113))*($G$2:$G$73="X"))</f>
        <v>0</v>
      </c>
      <c r="E113" s="64" cm="1">
        <f t="array" ref="E113">SUMPRODUCT(($C$2:$C$73=C113)*$E$2:$E$73)+SUMPRODUCT(($D$2:$D$73=C113)*$F$2:$F$73)-SUMPRODUCT(($C$2:$C$73=C113)*$F$2:$F$73)-SUMPRODUCT(($D$2:$D$73=C113)*$E$2:$E$73)</f>
        <v>0</v>
      </c>
    </row>
    <row r="114" spans="2:5" x14ac:dyDescent="0.25">
      <c r="B114" s="16" t="str">
        <f t="shared" si="4"/>
        <v>J</v>
      </c>
      <c r="C114" t="s">
        <v>53</v>
      </c>
      <c r="D114" cm="1">
        <f t="array" ref="D114">SUMPRODUCT((($C$2:$C$73=C114)*($G$2:$G$73=1))*3) + SUMPRODUCT((($D$2:$D$73=C114)*($G$2:$G$73=2))*3) + SUMPRODUCT((($C$2:$C$73=C114)+($D$2:$D$73=C114))*($G$2:$G$73="X"))</f>
        <v>0</v>
      </c>
      <c r="E114" cm="1">
        <f t="array" ref="E114">SUMPRODUCT(($C$2:$C$73=C114)*$E$2:$E$73)+SUMPRODUCT(($D$2:$D$73=C114)*$F$2:$F$73)-SUMPRODUCT(($C$2:$C$73=C114)*$F$2:$F$73)-SUMPRODUCT(($D$2:$D$73=C114)*$E$2:$E$73)</f>
        <v>0</v>
      </c>
    </row>
    <row r="115" spans="2:5" x14ac:dyDescent="0.25">
      <c r="B115" s="16" t="str">
        <f t="shared" si="4"/>
        <v>J</v>
      </c>
      <c r="C115" t="s">
        <v>52</v>
      </c>
      <c r="D115" cm="1">
        <f t="array" ref="D115">SUMPRODUCT((($C$2:$C$73=C115)*($G$2:$G$73=1))*3) + SUMPRODUCT((($D$2:$D$73=C115)*($G$2:$G$73=2))*3) + SUMPRODUCT((($C$2:$C$73=C115)+($D$2:$D$73=C115))*($G$2:$G$73="X"))</f>
        <v>0</v>
      </c>
      <c r="E115" cm="1">
        <f t="array" ref="E115">SUMPRODUCT(($C$2:$C$73=C115)*$E$2:$E$73)+SUMPRODUCT(($D$2:$D$73=C115)*$F$2:$F$73)-SUMPRODUCT(($C$2:$C$73=C115)*$F$2:$F$73)-SUMPRODUCT(($D$2:$D$73=C115)*$E$2:$E$73)</f>
        <v>0</v>
      </c>
    </row>
    <row r="116" spans="2:5" x14ac:dyDescent="0.25">
      <c r="B116" s="16" t="str">
        <f t="shared" si="4"/>
        <v>J</v>
      </c>
      <c r="C116" t="s">
        <v>54</v>
      </c>
      <c r="D116" cm="1">
        <f t="array" ref="D116">SUMPRODUCT((($C$2:$C$73=C116)*($G$2:$G$73=1))*3) + SUMPRODUCT((($D$2:$D$73=C116)*($G$2:$G$73=2))*3) + SUMPRODUCT((($C$2:$C$73=C116)+($D$2:$D$73=C116))*($G$2:$G$73="X"))</f>
        <v>0</v>
      </c>
      <c r="E116" cm="1">
        <f t="array" ref="E116">SUMPRODUCT(($C$2:$C$73=C116)*$E$2:$E$73)+SUMPRODUCT(($D$2:$D$73=C116)*$F$2:$F$73)-SUMPRODUCT(($C$2:$C$73=C116)*$F$2:$F$73)-SUMPRODUCT(($D$2:$D$73=C116)*$E$2:$E$73)</f>
        <v>0</v>
      </c>
    </row>
    <row r="117" spans="2:5" ht="15.75" thickBot="1" x14ac:dyDescent="0.3">
      <c r="B117" s="114" t="str">
        <f t="shared" si="4"/>
        <v>J</v>
      </c>
      <c r="C117" s="64" t="s">
        <v>55</v>
      </c>
      <c r="D117" s="64" cm="1">
        <f t="array" ref="D117">SUMPRODUCT((($C$2:$C$73=C117)*($G$2:$G$73=1))*3) + SUMPRODUCT((($D$2:$D$73=C117)*($G$2:$G$73=2))*3) + SUMPRODUCT((($C$2:$C$73=C117)+($D$2:$D$73=C117))*($G$2:$G$73="X"))</f>
        <v>0</v>
      </c>
      <c r="E117" s="64" cm="1">
        <f t="array" ref="E117">SUMPRODUCT(($C$2:$C$73=C117)*$E$2:$E$73)+SUMPRODUCT(($D$2:$D$73=C117)*$F$2:$F$73)-SUMPRODUCT(($C$2:$C$73=C117)*$F$2:$F$73)-SUMPRODUCT(($D$2:$D$73=C117)*$E$2:$E$73)</f>
        <v>0</v>
      </c>
    </row>
    <row r="118" spans="2:5" x14ac:dyDescent="0.25">
      <c r="B118" s="16" t="str">
        <f t="shared" si="4"/>
        <v>K</v>
      </c>
      <c r="C118" t="s">
        <v>60</v>
      </c>
      <c r="D118" cm="1">
        <f t="array" ref="D118">SUMPRODUCT((($C$2:$C$73=C118)*($G$2:$G$73=1))*3) + SUMPRODUCT((($D$2:$D$73=C118)*($G$2:$G$73=2))*3) + SUMPRODUCT((($C$2:$C$73=C118)+($D$2:$D$73=C118))*($G$2:$G$73="X"))</f>
        <v>0</v>
      </c>
      <c r="E118" cm="1">
        <f t="array" ref="E118">SUMPRODUCT(($C$2:$C$73=C118)*$E$2:$E$73)+SUMPRODUCT(($D$2:$D$73=C118)*$F$2:$F$73)-SUMPRODUCT(($C$2:$C$73=C118)*$F$2:$F$73)-SUMPRODUCT(($D$2:$D$73=C118)*$E$2:$E$73)</f>
        <v>0</v>
      </c>
    </row>
    <row r="119" spans="2:5" x14ac:dyDescent="0.25">
      <c r="B119" s="16" t="str">
        <f t="shared" si="4"/>
        <v>K</v>
      </c>
      <c r="C119" t="s">
        <v>58</v>
      </c>
      <c r="D119" cm="1">
        <f t="array" ref="D119">SUMPRODUCT((($C$2:$C$73=C119)*($G$2:$G$73=1))*3) + SUMPRODUCT((($D$2:$D$73=C119)*($G$2:$G$73=2))*3) + SUMPRODUCT((($C$2:$C$73=C119)+($D$2:$D$73=C119))*($G$2:$G$73="X"))</f>
        <v>0</v>
      </c>
      <c r="E119" cm="1">
        <f t="array" ref="E119">SUMPRODUCT(($C$2:$C$73=C119)*$E$2:$E$73)+SUMPRODUCT(($D$2:$D$73=C119)*$F$2:$F$73)-SUMPRODUCT(($C$2:$C$73=C119)*$F$2:$F$73)-SUMPRODUCT(($D$2:$D$73=C119)*$E$2:$E$73)</f>
        <v>0</v>
      </c>
    </row>
    <row r="120" spans="2:5" x14ac:dyDescent="0.25">
      <c r="B120" s="16" t="str">
        <f t="shared" si="4"/>
        <v>K</v>
      </c>
      <c r="C120" t="s">
        <v>57</v>
      </c>
      <c r="D120" cm="1">
        <f t="array" ref="D120">SUMPRODUCT((($C$2:$C$73=C120)*($G$2:$G$73=1))*3) + SUMPRODUCT((($D$2:$D$73=C120)*($G$2:$G$73=2))*3) + SUMPRODUCT((($C$2:$C$73=C120)+($D$2:$D$73=C120))*($G$2:$G$73="X"))</f>
        <v>0</v>
      </c>
      <c r="E120" cm="1">
        <f t="array" ref="E120">SUMPRODUCT(($C$2:$C$73=C120)*$E$2:$E$73)+SUMPRODUCT(($D$2:$D$73=C120)*$F$2:$F$73)-SUMPRODUCT(($C$2:$C$73=C120)*$F$2:$F$73)-SUMPRODUCT(($D$2:$D$73=C120)*$E$2:$E$73)</f>
        <v>0</v>
      </c>
    </row>
    <row r="121" spans="2:5" ht="15.75" thickBot="1" x14ac:dyDescent="0.3">
      <c r="B121" s="114" t="str">
        <f t="shared" si="4"/>
        <v>K</v>
      </c>
      <c r="C121" s="64" t="s">
        <v>59</v>
      </c>
      <c r="D121" s="64" cm="1">
        <f t="array" ref="D121">SUMPRODUCT((($C$2:$C$73=C121)*($G$2:$G$73=1))*3) + SUMPRODUCT((($D$2:$D$73=C121)*($G$2:$G$73=2))*3) + SUMPRODUCT((($C$2:$C$73=C121)+($D$2:$D$73=C121))*($G$2:$G$73="X"))</f>
        <v>0</v>
      </c>
      <c r="E121" s="64" cm="1">
        <f t="array" ref="E121">SUMPRODUCT(($C$2:$C$73=C121)*$E$2:$E$73)+SUMPRODUCT(($D$2:$D$73=C121)*$F$2:$F$73)-SUMPRODUCT(($C$2:$C$73=C121)*$F$2:$F$73)-SUMPRODUCT(($D$2:$D$73=C121)*$E$2:$E$73)</f>
        <v>0</v>
      </c>
    </row>
    <row r="122" spans="2:5" x14ac:dyDescent="0.25">
      <c r="B122" s="16" t="str">
        <f t="shared" si="4"/>
        <v>L</v>
      </c>
      <c r="C122" t="s">
        <v>63</v>
      </c>
      <c r="D122" cm="1">
        <f t="array" ref="D122">SUMPRODUCT((($C$2:$C$73=C122)*($G$2:$G$73=1))*3) + SUMPRODUCT((($D$2:$D$73=C122)*($G$2:$G$73=2))*3) + SUMPRODUCT((($C$2:$C$73=C122)+($D$2:$D$73=C122))*($G$2:$G$73="X"))</f>
        <v>0</v>
      </c>
      <c r="E122" cm="1">
        <f t="array" ref="E122">SUMPRODUCT(($C$2:$C$73=C122)*$E$2:$E$73)+SUMPRODUCT(($D$2:$D$73=C122)*$F$2:$F$73)-SUMPRODUCT(($C$2:$C$73=C122)*$F$2:$F$73)-SUMPRODUCT(($D$2:$D$73=C122)*$E$2:$E$73)</f>
        <v>0</v>
      </c>
    </row>
    <row r="123" spans="2:5" x14ac:dyDescent="0.25">
      <c r="B123" s="16" t="str">
        <f t="shared" si="4"/>
        <v>L</v>
      </c>
      <c r="C123" t="s">
        <v>62</v>
      </c>
      <c r="D123" cm="1">
        <f t="array" ref="D123">SUMPRODUCT((($C$2:$C$73=C123)*($G$2:$G$73=1))*3) + SUMPRODUCT((($D$2:$D$73=C123)*($G$2:$G$73=2))*3) + SUMPRODUCT((($C$2:$C$73=C123)+($D$2:$D$73=C123))*($G$2:$G$73="X"))</f>
        <v>0</v>
      </c>
      <c r="E123" cm="1">
        <f t="array" ref="E123">SUMPRODUCT(($C$2:$C$73=C123)*$E$2:$E$73)+SUMPRODUCT(($D$2:$D$73=C123)*$F$2:$F$73)-SUMPRODUCT(($C$2:$C$73=C123)*$F$2:$F$73)-SUMPRODUCT(($D$2:$D$73=C123)*$E$2:$E$73)</f>
        <v>0</v>
      </c>
    </row>
    <row r="124" spans="2:5" x14ac:dyDescent="0.25">
      <c r="B124" s="16" t="str">
        <f t="shared" si="4"/>
        <v>L</v>
      </c>
      <c r="C124" t="s">
        <v>64</v>
      </c>
      <c r="D124" cm="1">
        <f t="array" ref="D124">SUMPRODUCT((($C$2:$C$73=C124)*($G$2:$G$73=1))*3) + SUMPRODUCT((($D$2:$D$73=C124)*($G$2:$G$73=2))*3) + SUMPRODUCT((($C$2:$C$73=C124)+($D$2:$D$73=C124))*($G$2:$G$73="X"))</f>
        <v>0</v>
      </c>
      <c r="E124" cm="1">
        <f t="array" ref="E124">SUMPRODUCT(($C$2:$C$73=C124)*$E$2:$E$73)+SUMPRODUCT(($D$2:$D$73=C124)*$F$2:$F$73)-SUMPRODUCT(($C$2:$C$73=C124)*$F$2:$F$73)-SUMPRODUCT(($D$2:$D$73=C124)*$E$2:$E$73)</f>
        <v>0</v>
      </c>
    </row>
    <row r="125" spans="2:5" ht="15.75" thickBot="1" x14ac:dyDescent="0.3">
      <c r="B125" s="114" t="str">
        <f t="shared" si="4"/>
        <v>L</v>
      </c>
      <c r="C125" s="64" t="s">
        <v>65</v>
      </c>
      <c r="D125" s="64" cm="1">
        <f t="array" ref="D125">SUMPRODUCT((($C$2:$C$73=C125)*($G$2:$G$73=1))*3) + SUMPRODUCT((($D$2:$D$73=C125)*($G$2:$G$73=2))*3) + SUMPRODUCT((($C$2:$C$73=C125)+($D$2:$D$73=C125))*($G$2:$G$73="X"))</f>
        <v>0</v>
      </c>
      <c r="E125" s="64" cm="1">
        <f t="array" ref="E125">SUMPRODUCT(($C$2:$C$73=C125)*$E$2:$E$73)+SUMPRODUCT(($D$2:$D$73=C125)*$F$2:$F$73)-SUMPRODUCT(($C$2:$C$73=C125)*$F$2:$F$73)-SUMPRODUCT(($D$2:$D$73=C125)*$E$2:$E$73)</f>
        <v>0</v>
      </c>
    </row>
  </sheetData>
  <sortState xmlns:xlrd2="http://schemas.microsoft.com/office/spreadsheetml/2017/richdata2" ref="B78:D125">
    <sortCondition ref="B79:B125"/>
  </sortState>
  <mergeCells count="1">
    <mergeCell ref="E1:F1"/>
  </mergeCells>
  <phoneticPr fontId="5" type="noConversion"/>
  <conditionalFormatting sqref="B78:B125">
    <cfRule type="cellIs" dxfId="180" priority="1" operator="equal">
      <formula>"A"</formula>
    </cfRule>
    <cfRule type="cellIs" dxfId="179" priority="2" operator="equal">
      <formula>"B"</formula>
    </cfRule>
    <cfRule type="cellIs" dxfId="178" priority="3" operator="equal">
      <formula>"C"</formula>
    </cfRule>
    <cfRule type="cellIs" dxfId="177" priority="4" operator="equal">
      <formula>"D"</formula>
    </cfRule>
    <cfRule type="cellIs" dxfId="176" priority="5" operator="equal">
      <formula>"E"</formula>
    </cfRule>
    <cfRule type="cellIs" dxfId="175" priority="6" operator="equal">
      <formula>"F"</formula>
    </cfRule>
    <cfRule type="cellIs" dxfId="174" priority="7" operator="equal">
      <formula>"G"</formula>
    </cfRule>
    <cfRule type="cellIs" dxfId="173" priority="8" operator="equal">
      <formula>"H"</formula>
    </cfRule>
    <cfRule type="cellIs" dxfId="172" priority="9" operator="equal">
      <formula>"I"</formula>
    </cfRule>
    <cfRule type="cellIs" dxfId="171" priority="10" operator="equal">
      <formula>"J"</formula>
    </cfRule>
    <cfRule type="cellIs" dxfId="170" priority="11" operator="equal">
      <formula>"K"</formula>
    </cfRule>
    <cfRule type="cellIs" dxfId="169" priority="12" operator="equal">
      <formula>"L"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9227-094B-47C1-8826-43F3709B4C6A}">
  <dimension ref="A1:Q125"/>
  <sheetViews>
    <sheetView workbookViewId="0">
      <selection activeCell="H19" sqref="H19"/>
    </sheetView>
  </sheetViews>
  <sheetFormatPr defaultRowHeight="15" x14ac:dyDescent="0.25"/>
  <cols>
    <col min="1" max="1" width="9.42578125" bestFit="1" customWidth="1"/>
    <col min="2" max="2" width="6.5703125" bestFit="1" customWidth="1"/>
    <col min="3" max="5" width="22.5703125" bestFit="1" customWidth="1"/>
    <col min="6" max="6" width="20.28515625" bestFit="1" customWidth="1"/>
    <col min="7" max="7" width="6.5703125" bestFit="1" customWidth="1"/>
    <col min="8" max="8" width="20.28515625" bestFit="1" customWidth="1"/>
    <col min="9" max="9" width="6.5703125" bestFit="1" customWidth="1"/>
    <col min="10" max="10" width="20.28515625" bestFit="1" customWidth="1"/>
    <col min="11" max="11" width="6.5703125" bestFit="1" customWidth="1"/>
    <col min="12" max="12" width="20.28515625" bestFit="1" customWidth="1"/>
    <col min="13" max="13" width="6.5703125" bestFit="1" customWidth="1"/>
    <col min="14" max="14" width="20.28515625" bestFit="1" customWidth="1"/>
    <col min="15" max="15" width="6.5703125" bestFit="1" customWidth="1"/>
    <col min="16" max="16" width="7.85546875" bestFit="1" customWidth="1"/>
    <col min="17" max="19" width="11.5703125" bestFit="1" customWidth="1"/>
  </cols>
  <sheetData>
    <row r="1" spans="1:15" ht="15.75" thickBot="1" x14ac:dyDescent="0.3">
      <c r="F1" s="118" t="s">
        <v>66</v>
      </c>
      <c r="G1" s="119"/>
      <c r="H1" s="118" t="str">
        <f>Leaderboard!C3</f>
        <v>Aaron Twiss</v>
      </c>
      <c r="I1" s="119"/>
      <c r="J1" s="118" t="str">
        <f>Leaderboard!C4</f>
        <v>Arion Aliu</v>
      </c>
      <c r="K1" s="119"/>
      <c r="L1" s="118" t="str">
        <f>Leaderboard!C5</f>
        <v>Rayan Zaibag</v>
      </c>
      <c r="M1" s="119"/>
      <c r="N1" s="63" t="str">
        <f>Leaderboard!C6</f>
        <v>Jorge Lopez</v>
      </c>
      <c r="O1" s="63"/>
    </row>
    <row r="2" spans="1:15" ht="15" customHeight="1" x14ac:dyDescent="0.25">
      <c r="E2" s="17"/>
      <c r="F2" s="120" t="s">
        <v>96</v>
      </c>
      <c r="G2" s="121" t="s">
        <v>1</v>
      </c>
      <c r="H2" s="120" t="s">
        <v>96</v>
      </c>
      <c r="I2" s="121" t="s">
        <v>1</v>
      </c>
      <c r="J2" s="120" t="s">
        <v>96</v>
      </c>
      <c r="K2" s="121" t="s">
        <v>1</v>
      </c>
      <c r="L2" s="120" t="s">
        <v>96</v>
      </c>
      <c r="M2" s="121" t="s">
        <v>1</v>
      </c>
      <c r="N2" s="116" t="s">
        <v>96</v>
      </c>
      <c r="O2" s="116" t="s">
        <v>1</v>
      </c>
    </row>
    <row r="3" spans="1:15" ht="15" customHeight="1" thickBot="1" x14ac:dyDescent="0.3">
      <c r="A3" s="63" t="s">
        <v>0</v>
      </c>
      <c r="B3" s="63" t="s">
        <v>1</v>
      </c>
      <c r="C3" s="63" t="s">
        <v>2</v>
      </c>
      <c r="D3" s="63" t="s">
        <v>3</v>
      </c>
      <c r="E3" s="64" t="s">
        <v>5</v>
      </c>
      <c r="F3" s="122">
        <f>SUM(G4:G75)</f>
        <v>2</v>
      </c>
      <c r="G3" s="123">
        <f>SUM(G78:G125)</f>
        <v>19</v>
      </c>
      <c r="H3" s="122">
        <f>SUM(I4:I75)</f>
        <v>2</v>
      </c>
      <c r="I3" s="123">
        <f>SUM(I78:I125)</f>
        <v>12</v>
      </c>
      <c r="J3" s="122">
        <f>SUM(K4:K75)</f>
        <v>2</v>
      </c>
      <c r="K3" s="123">
        <f>SUM(K78:K125)</f>
        <v>19</v>
      </c>
      <c r="L3" s="122">
        <f>SUM(M4:M75)</f>
        <v>2</v>
      </c>
      <c r="M3" s="123">
        <f>SUM(M78:M125)</f>
        <v>19</v>
      </c>
      <c r="N3" s="65">
        <f>SUM(O4:O75)</f>
        <v>2</v>
      </c>
      <c r="O3" s="65">
        <f>SUM(O78:O125)</f>
        <v>13</v>
      </c>
    </row>
    <row r="4" spans="1:15" x14ac:dyDescent="0.25">
      <c r="A4" s="29">
        <v>46184</v>
      </c>
      <c r="B4" s="62" t="s">
        <v>6</v>
      </c>
      <c r="C4" s="31" t="s">
        <v>7</v>
      </c>
      <c r="D4" s="31" t="s">
        <v>8</v>
      </c>
      <c r="E4" s="115">
        <f>'Master Score'!G2</f>
        <v>1</v>
      </c>
      <c r="F4" s="124">
        <v>1</v>
      </c>
      <c r="G4" s="125">
        <f>IF($E4="","",IF(F4=$E4,1,0))</f>
        <v>1</v>
      </c>
      <c r="H4" s="126">
        <v>1</v>
      </c>
      <c r="I4" s="125">
        <f>IF($E4="","",IF(H4=$E4,1,0))</f>
        <v>1</v>
      </c>
      <c r="J4" s="124">
        <v>1</v>
      </c>
      <c r="K4" s="125">
        <f>IF($E4="","",IF(J4=$E4,1,0))</f>
        <v>1</v>
      </c>
      <c r="L4" s="124">
        <v>1</v>
      </c>
      <c r="M4" s="125">
        <f>IF($E4="","",IF(L4=$E4,1,0))</f>
        <v>1</v>
      </c>
      <c r="N4" s="133">
        <v>1</v>
      </c>
      <c r="O4">
        <f>IF($E4="","",IF(N4=$E4,1,0))</f>
        <v>1</v>
      </c>
    </row>
    <row r="5" spans="1:15" x14ac:dyDescent="0.25">
      <c r="A5" s="26">
        <v>46185</v>
      </c>
      <c r="B5" s="27" t="s">
        <v>6</v>
      </c>
      <c r="C5" s="28" t="s">
        <v>9</v>
      </c>
      <c r="D5" s="28" t="s">
        <v>10</v>
      </c>
      <c r="E5" s="60">
        <f>'Master Score'!G3</f>
        <v>1</v>
      </c>
      <c r="F5" s="126">
        <v>1</v>
      </c>
      <c r="G5" s="125">
        <f t="shared" ref="G5:G68" si="0">IF($E5="","",IF(F5=$E5,1,0))</f>
        <v>1</v>
      </c>
      <c r="H5" s="126" t="s">
        <v>94</v>
      </c>
      <c r="I5" s="125">
        <f t="shared" ref="I5" si="1">IF($E5="","",IF(H5=$E5,1,0))</f>
        <v>0</v>
      </c>
      <c r="J5" s="126">
        <v>1</v>
      </c>
      <c r="K5" s="125">
        <f t="shared" ref="K5:K8" si="2">IF($E5="","",IF(J5=$E5,1,0))</f>
        <v>1</v>
      </c>
      <c r="L5" s="126" t="s">
        <v>94</v>
      </c>
      <c r="M5" s="125">
        <f t="shared" ref="M5:M8" si="3">IF($E5="","",IF(L5=$E5,1,0))</f>
        <v>0</v>
      </c>
      <c r="N5" s="117">
        <v>1</v>
      </c>
      <c r="O5">
        <f t="shared" ref="O5:O8" si="4">IF($E5="","",IF(N5=$E5,1,0))</f>
        <v>1</v>
      </c>
    </row>
    <row r="6" spans="1:15" x14ac:dyDescent="0.25">
      <c r="A6" s="29">
        <v>46185</v>
      </c>
      <c r="B6" s="30" t="s">
        <v>11</v>
      </c>
      <c r="C6" s="31" t="s">
        <v>12</v>
      </c>
      <c r="D6" s="31" t="s">
        <v>13</v>
      </c>
      <c r="E6" s="67" t="str">
        <f>'Master Score'!G4</f>
        <v>X</v>
      </c>
      <c r="F6" s="126">
        <v>1</v>
      </c>
      <c r="G6" s="125">
        <f t="shared" si="0"/>
        <v>0</v>
      </c>
      <c r="H6" s="126" t="s">
        <v>94</v>
      </c>
      <c r="I6" s="125">
        <f t="shared" ref="I6" si="5">IF($E6="","",IF(H6=$E6,1,0))</f>
        <v>1</v>
      </c>
      <c r="J6" s="126">
        <v>2</v>
      </c>
      <c r="K6" s="125">
        <f t="shared" si="2"/>
        <v>0</v>
      </c>
      <c r="L6" s="126" t="s">
        <v>94</v>
      </c>
      <c r="M6" s="125">
        <f t="shared" si="3"/>
        <v>1</v>
      </c>
      <c r="N6" s="117">
        <v>1</v>
      </c>
      <c r="O6">
        <f t="shared" si="4"/>
        <v>0</v>
      </c>
    </row>
    <row r="7" spans="1:15" x14ac:dyDescent="0.25">
      <c r="A7" s="26">
        <v>46186</v>
      </c>
      <c r="B7" s="32" t="s">
        <v>21</v>
      </c>
      <c r="C7" s="28" t="s">
        <v>22</v>
      </c>
      <c r="D7" s="28" t="s">
        <v>23</v>
      </c>
      <c r="E7" s="60" t="str">
        <f>'Master Score'!G5</f>
        <v/>
      </c>
      <c r="F7" s="126">
        <v>1</v>
      </c>
      <c r="G7" s="125" t="str">
        <f t="shared" si="0"/>
        <v/>
      </c>
      <c r="H7" s="126">
        <v>2</v>
      </c>
      <c r="I7" s="125" t="str">
        <f t="shared" ref="I7" si="6">IF($E7="","",IF(H7=$E7,1,0))</f>
        <v/>
      </c>
      <c r="J7" s="126">
        <v>1</v>
      </c>
      <c r="K7" s="125" t="str">
        <f t="shared" si="2"/>
        <v/>
      </c>
      <c r="L7" s="126">
        <v>1</v>
      </c>
      <c r="M7" s="125" t="str">
        <f t="shared" si="3"/>
        <v/>
      </c>
      <c r="N7" s="117">
        <v>1</v>
      </c>
      <c r="O7" t="str">
        <f t="shared" si="4"/>
        <v/>
      </c>
    </row>
    <row r="8" spans="1:15" x14ac:dyDescent="0.25">
      <c r="A8" s="26">
        <v>46186</v>
      </c>
      <c r="B8" s="33" t="s">
        <v>11</v>
      </c>
      <c r="C8" s="28" t="s">
        <v>14</v>
      </c>
      <c r="D8" s="28" t="s">
        <v>15</v>
      </c>
      <c r="E8" s="60" t="str">
        <f>'Master Score'!G6</f>
        <v/>
      </c>
      <c r="F8" s="126">
        <v>2</v>
      </c>
      <c r="G8" s="125" t="str">
        <f t="shared" si="0"/>
        <v/>
      </c>
      <c r="H8" s="126">
        <v>2</v>
      </c>
      <c r="I8" s="125" t="str">
        <f t="shared" ref="I8" si="7">IF($E8="","",IF(H8=$E8,1,0))</f>
        <v/>
      </c>
      <c r="J8" s="126">
        <v>2</v>
      </c>
      <c r="K8" s="125" t="str">
        <f t="shared" si="2"/>
        <v/>
      </c>
      <c r="L8" s="126">
        <v>2</v>
      </c>
      <c r="M8" s="125" t="str">
        <f t="shared" si="3"/>
        <v/>
      </c>
      <c r="N8" s="117">
        <v>2</v>
      </c>
      <c r="O8" t="str">
        <f t="shared" si="4"/>
        <v/>
      </c>
    </row>
    <row r="9" spans="1:15" x14ac:dyDescent="0.25">
      <c r="A9" s="29">
        <v>46186</v>
      </c>
      <c r="B9" s="34" t="s">
        <v>16</v>
      </c>
      <c r="C9" s="31" t="s">
        <v>17</v>
      </c>
      <c r="D9" s="31" t="s">
        <v>18</v>
      </c>
      <c r="E9" s="67" t="str">
        <f>'Master Score'!G7</f>
        <v/>
      </c>
      <c r="F9" s="126">
        <v>1</v>
      </c>
      <c r="G9" s="125" t="str">
        <f>IF($E9="","",IF(F9=$E9,1,0))</f>
        <v/>
      </c>
      <c r="H9" s="126">
        <v>2</v>
      </c>
      <c r="I9" s="125" t="str">
        <f>IF($E9="","",IF(H9=$E9,1,0))</f>
        <v/>
      </c>
      <c r="J9" s="126">
        <v>1</v>
      </c>
      <c r="K9" s="125" t="str">
        <f>IF($E9="","",IF(J9=$E9,1,0))</f>
        <v/>
      </c>
      <c r="L9" s="126">
        <v>1</v>
      </c>
      <c r="M9" s="125" t="str">
        <f>IF($E9="","",IF(L9=$E9,1,0))</f>
        <v/>
      </c>
      <c r="N9" s="117">
        <v>1</v>
      </c>
      <c r="O9" t="str">
        <f>IF($E9="","",IF(N9=$E9,1,0))</f>
        <v/>
      </c>
    </row>
    <row r="10" spans="1:15" x14ac:dyDescent="0.25">
      <c r="A10" s="26">
        <v>46187</v>
      </c>
      <c r="B10" s="35" t="s">
        <v>16</v>
      </c>
      <c r="C10" s="28" t="s">
        <v>19</v>
      </c>
      <c r="D10" s="28" t="s">
        <v>20</v>
      </c>
      <c r="E10" s="60" t="str">
        <f>'Master Score'!G8</f>
        <v/>
      </c>
      <c r="F10" s="126">
        <v>2</v>
      </c>
      <c r="G10" s="125" t="str">
        <f t="shared" si="0"/>
        <v/>
      </c>
      <c r="H10" s="126">
        <v>2</v>
      </c>
      <c r="I10" s="125" t="str">
        <f t="shared" ref="I10" si="8">IF($E10="","",IF(H10=$E10,1,0))</f>
        <v/>
      </c>
      <c r="J10" s="126">
        <v>2</v>
      </c>
      <c r="K10" s="125" t="str">
        <f>IF($E10="","",IF(J10=$E10,1,0))</f>
        <v/>
      </c>
      <c r="L10" s="126">
        <v>2</v>
      </c>
      <c r="M10" s="125" t="str">
        <f t="shared" ref="M10:M73" si="9">IF($E10="","",IF(L10=$E10,1,0))</f>
        <v/>
      </c>
      <c r="N10" s="117">
        <v>2</v>
      </c>
      <c r="O10" t="str">
        <f t="shared" ref="O10:O73" si="10">IF($E10="","",IF(N10=$E10,1,0))</f>
        <v/>
      </c>
    </row>
    <row r="11" spans="1:15" x14ac:dyDescent="0.25">
      <c r="A11" s="26">
        <v>46187</v>
      </c>
      <c r="B11" s="32" t="s">
        <v>21</v>
      </c>
      <c r="C11" s="28" t="s">
        <v>24</v>
      </c>
      <c r="D11" s="28" t="s">
        <v>25</v>
      </c>
      <c r="E11" s="60" t="str">
        <f>'Master Score'!G9</f>
        <v/>
      </c>
      <c r="F11" s="126">
        <v>2</v>
      </c>
      <c r="G11" s="125" t="str">
        <f t="shared" si="0"/>
        <v/>
      </c>
      <c r="H11" s="126">
        <v>2</v>
      </c>
      <c r="I11" s="125" t="str">
        <f t="shared" ref="I11" si="11">IF($E11="","",IF(H11=$E11,1,0))</f>
        <v/>
      </c>
      <c r="J11" s="126">
        <v>2</v>
      </c>
      <c r="K11" s="125" t="str">
        <f t="shared" ref="K11:K73" si="12">IF($E11="","",IF(J11=$E11,1,0))</f>
        <v/>
      </c>
      <c r="L11" s="126">
        <v>2</v>
      </c>
      <c r="M11" s="125" t="str">
        <f t="shared" si="9"/>
        <v/>
      </c>
      <c r="N11" s="117">
        <v>2</v>
      </c>
      <c r="O11" t="str">
        <f t="shared" si="10"/>
        <v/>
      </c>
    </row>
    <row r="12" spans="1:15" x14ac:dyDescent="0.25">
      <c r="A12" s="26">
        <v>46187</v>
      </c>
      <c r="B12" s="36" t="s">
        <v>26</v>
      </c>
      <c r="C12" s="28" t="s">
        <v>27</v>
      </c>
      <c r="D12" s="28" t="s">
        <v>28</v>
      </c>
      <c r="E12" s="60" t="str">
        <f>'Master Score'!G10</f>
        <v/>
      </c>
      <c r="F12" s="126">
        <v>1</v>
      </c>
      <c r="G12" s="125" t="str">
        <f t="shared" si="0"/>
        <v/>
      </c>
      <c r="H12" s="126">
        <v>1</v>
      </c>
      <c r="I12" s="125" t="str">
        <f t="shared" ref="I12" si="13">IF($E12="","",IF(H12=$E12,1,0))</f>
        <v/>
      </c>
      <c r="J12" s="126">
        <v>1</v>
      </c>
      <c r="K12" s="125" t="str">
        <f t="shared" si="12"/>
        <v/>
      </c>
      <c r="L12" s="126">
        <v>1</v>
      </c>
      <c r="M12" s="125" t="str">
        <f t="shared" si="9"/>
        <v/>
      </c>
      <c r="N12" s="117">
        <v>1</v>
      </c>
      <c r="O12" t="str">
        <f t="shared" si="10"/>
        <v/>
      </c>
    </row>
    <row r="13" spans="1:15" x14ac:dyDescent="0.25">
      <c r="A13" s="29">
        <v>46187</v>
      </c>
      <c r="B13" s="37" t="s">
        <v>31</v>
      </c>
      <c r="C13" s="31" t="s">
        <v>32</v>
      </c>
      <c r="D13" s="31" t="s">
        <v>33</v>
      </c>
      <c r="E13" s="67" t="str">
        <f>'Master Score'!G11</f>
        <v/>
      </c>
      <c r="F13" s="126" t="s">
        <v>94</v>
      </c>
      <c r="G13" s="125" t="str">
        <f t="shared" si="0"/>
        <v/>
      </c>
      <c r="H13" s="126">
        <v>1</v>
      </c>
      <c r="I13" s="125" t="str">
        <f t="shared" ref="I13" si="14">IF($E13="","",IF(H13=$E13,1,0))</f>
        <v/>
      </c>
      <c r="J13" s="126">
        <v>1</v>
      </c>
      <c r="K13" s="125" t="str">
        <f t="shared" si="12"/>
        <v/>
      </c>
      <c r="L13" s="126" t="s">
        <v>94</v>
      </c>
      <c r="M13" s="125" t="str">
        <f t="shared" si="9"/>
        <v/>
      </c>
      <c r="N13" s="117" t="s">
        <v>94</v>
      </c>
      <c r="O13" t="str">
        <f t="shared" si="10"/>
        <v/>
      </c>
    </row>
    <row r="14" spans="1:15" x14ac:dyDescent="0.25">
      <c r="A14" s="26">
        <v>46188</v>
      </c>
      <c r="B14" s="36" t="s">
        <v>26</v>
      </c>
      <c r="C14" s="28" t="s">
        <v>29</v>
      </c>
      <c r="D14" s="28" t="s">
        <v>30</v>
      </c>
      <c r="E14" s="60" t="str">
        <f>'Master Score'!G12</f>
        <v/>
      </c>
      <c r="F14" s="126">
        <v>1</v>
      </c>
      <c r="G14" s="125" t="str">
        <f t="shared" si="0"/>
        <v/>
      </c>
      <c r="H14" s="126" t="s">
        <v>94</v>
      </c>
      <c r="I14" s="125" t="str">
        <f t="shared" ref="I14" si="15">IF($E14="","",IF(H14=$E14,1,0))</f>
        <v/>
      </c>
      <c r="J14" s="126">
        <v>1</v>
      </c>
      <c r="K14" s="125" t="str">
        <f t="shared" si="12"/>
        <v/>
      </c>
      <c r="L14" s="126" t="s">
        <v>94</v>
      </c>
      <c r="M14" s="125" t="str">
        <f t="shared" si="9"/>
        <v/>
      </c>
      <c r="N14" s="117">
        <v>2</v>
      </c>
      <c r="O14" t="str">
        <f t="shared" si="10"/>
        <v/>
      </c>
    </row>
    <row r="15" spans="1:15" x14ac:dyDescent="0.25">
      <c r="A15" s="26">
        <v>46188</v>
      </c>
      <c r="B15" s="38" t="s">
        <v>31</v>
      </c>
      <c r="C15" s="28" t="s">
        <v>34</v>
      </c>
      <c r="D15" s="28" t="s">
        <v>35</v>
      </c>
      <c r="E15" s="60" t="str">
        <f>'Master Score'!G13</f>
        <v/>
      </c>
      <c r="F15" s="126">
        <v>1</v>
      </c>
      <c r="G15" s="125" t="str">
        <f t="shared" si="0"/>
        <v/>
      </c>
      <c r="H15" s="126" t="s">
        <v>94</v>
      </c>
      <c r="I15" s="125" t="str">
        <f t="shared" ref="I15" si="16">IF($E15="","",IF(H15=$E15,1,0))</f>
        <v/>
      </c>
      <c r="J15" s="126">
        <v>1</v>
      </c>
      <c r="K15" s="125" t="str">
        <f t="shared" si="12"/>
        <v/>
      </c>
      <c r="L15" s="126">
        <v>1</v>
      </c>
      <c r="M15" s="125" t="str">
        <f t="shared" si="9"/>
        <v/>
      </c>
      <c r="N15" s="117">
        <v>2</v>
      </c>
      <c r="O15" t="str">
        <f t="shared" si="10"/>
        <v/>
      </c>
    </row>
    <row r="16" spans="1:15" x14ac:dyDescent="0.25">
      <c r="A16" s="26">
        <v>46188</v>
      </c>
      <c r="B16" s="39" t="s">
        <v>36</v>
      </c>
      <c r="C16" s="28" t="s">
        <v>37</v>
      </c>
      <c r="D16" s="28" t="s">
        <v>38</v>
      </c>
      <c r="E16" s="60" t="str">
        <f>'Master Score'!G14</f>
        <v/>
      </c>
      <c r="F16" s="126">
        <v>1</v>
      </c>
      <c r="G16" s="125" t="str">
        <f t="shared" si="0"/>
        <v/>
      </c>
      <c r="H16" s="126">
        <v>1</v>
      </c>
      <c r="I16" s="125" t="str">
        <f t="shared" ref="I16" si="17">IF($E16="","",IF(H16=$E16,1,0))</f>
        <v/>
      </c>
      <c r="J16" s="126">
        <v>1</v>
      </c>
      <c r="K16" s="125" t="str">
        <f t="shared" si="12"/>
        <v/>
      </c>
      <c r="L16" s="126">
        <v>1</v>
      </c>
      <c r="M16" s="125" t="str">
        <f t="shared" si="9"/>
        <v/>
      </c>
      <c r="N16" s="117">
        <v>1</v>
      </c>
      <c r="O16" t="str">
        <f t="shared" si="10"/>
        <v/>
      </c>
    </row>
    <row r="17" spans="1:17" x14ac:dyDescent="0.25">
      <c r="A17" s="26">
        <v>46188</v>
      </c>
      <c r="B17" s="40" t="s">
        <v>41</v>
      </c>
      <c r="C17" s="28" t="s">
        <v>42</v>
      </c>
      <c r="D17" s="28" t="s">
        <v>43</v>
      </c>
      <c r="E17" s="60" t="str">
        <f>'Master Score'!G15</f>
        <v/>
      </c>
      <c r="F17" s="126">
        <v>1</v>
      </c>
      <c r="G17" s="125" t="str">
        <f t="shared" si="0"/>
        <v/>
      </c>
      <c r="H17" s="126">
        <v>1</v>
      </c>
      <c r="I17" s="125" t="str">
        <f t="shared" ref="I17" si="18">IF($E17="","",IF(H17=$E17,1,0))</f>
        <v/>
      </c>
      <c r="J17" s="126">
        <v>1</v>
      </c>
      <c r="K17" s="125" t="str">
        <f t="shared" si="12"/>
        <v/>
      </c>
      <c r="L17" s="126">
        <v>1</v>
      </c>
      <c r="M17" s="125" t="str">
        <f t="shared" si="9"/>
        <v/>
      </c>
      <c r="N17" s="117">
        <v>1</v>
      </c>
      <c r="O17" t="str">
        <f t="shared" si="10"/>
        <v/>
      </c>
    </row>
    <row r="18" spans="1:17" x14ac:dyDescent="0.25">
      <c r="A18" s="29">
        <v>46188</v>
      </c>
      <c r="B18" s="41" t="s">
        <v>41</v>
      </c>
      <c r="C18" s="31" t="s">
        <v>44</v>
      </c>
      <c r="D18" s="31" t="s">
        <v>45</v>
      </c>
      <c r="E18" s="67" t="str">
        <f>'Master Score'!G16</f>
        <v/>
      </c>
      <c r="F18" s="126">
        <v>2</v>
      </c>
      <c r="G18" s="125" t="str">
        <f t="shared" si="0"/>
        <v/>
      </c>
      <c r="H18" s="126">
        <v>2</v>
      </c>
      <c r="I18" s="125" t="str">
        <f t="shared" ref="I18" si="19">IF($E18="","",IF(H18=$E18,1,0))</f>
        <v/>
      </c>
      <c r="J18" s="126">
        <v>2</v>
      </c>
      <c r="K18" s="125" t="str">
        <f t="shared" si="12"/>
        <v/>
      </c>
      <c r="L18" s="126">
        <v>2</v>
      </c>
      <c r="M18" s="125" t="str">
        <f t="shared" si="9"/>
        <v/>
      </c>
      <c r="N18" s="117">
        <v>2</v>
      </c>
      <c r="O18" t="str">
        <f t="shared" si="10"/>
        <v/>
      </c>
    </row>
    <row r="19" spans="1:17" x14ac:dyDescent="0.25">
      <c r="A19" s="26">
        <v>46189</v>
      </c>
      <c r="B19" s="39" t="s">
        <v>36</v>
      </c>
      <c r="C19" s="28" t="s">
        <v>39</v>
      </c>
      <c r="D19" s="28" t="s">
        <v>40</v>
      </c>
      <c r="E19" s="60" t="str">
        <f>'Master Score'!G17</f>
        <v/>
      </c>
      <c r="F19" s="126" t="s">
        <v>94</v>
      </c>
      <c r="G19" s="125" t="str">
        <f t="shared" si="0"/>
        <v/>
      </c>
      <c r="H19" s="126">
        <v>1</v>
      </c>
      <c r="I19" s="125" t="str">
        <f t="shared" ref="I19" si="20">IF($E19="","",IF(H19=$E19,1,0))</f>
        <v/>
      </c>
      <c r="J19" s="126">
        <v>2</v>
      </c>
      <c r="K19" s="125" t="str">
        <f t="shared" si="12"/>
        <v/>
      </c>
      <c r="L19" s="126">
        <v>1</v>
      </c>
      <c r="M19" s="125" t="str">
        <f t="shared" si="9"/>
        <v/>
      </c>
      <c r="N19" s="117">
        <v>1</v>
      </c>
      <c r="O19" t="str">
        <f t="shared" si="10"/>
        <v/>
      </c>
    </row>
    <row r="20" spans="1:17" x14ac:dyDescent="0.25">
      <c r="A20" s="26">
        <v>46189</v>
      </c>
      <c r="B20" s="42" t="s">
        <v>46</v>
      </c>
      <c r="C20" s="28" t="s">
        <v>47</v>
      </c>
      <c r="D20" s="28" t="s">
        <v>48</v>
      </c>
      <c r="E20" s="60" t="str">
        <f>'Master Score'!G18</f>
        <v/>
      </c>
      <c r="F20" s="126">
        <v>1</v>
      </c>
      <c r="G20" s="125" t="str">
        <f t="shared" si="0"/>
        <v/>
      </c>
      <c r="H20" s="126">
        <v>1</v>
      </c>
      <c r="I20" s="125" t="str">
        <f t="shared" ref="I20" si="21">IF($E20="","",IF(H20=$E20,1,0))</f>
        <v/>
      </c>
      <c r="J20" s="126">
        <v>1</v>
      </c>
      <c r="K20" s="125" t="str">
        <f t="shared" si="12"/>
        <v/>
      </c>
      <c r="L20" s="126">
        <v>1</v>
      </c>
      <c r="M20" s="125" t="str">
        <f t="shared" si="9"/>
        <v/>
      </c>
      <c r="N20" s="117">
        <v>1</v>
      </c>
      <c r="O20" t="str">
        <f t="shared" si="10"/>
        <v/>
      </c>
    </row>
    <row r="21" spans="1:17" x14ac:dyDescent="0.25">
      <c r="A21" s="29">
        <v>46189</v>
      </c>
      <c r="B21" s="43" t="s">
        <v>46</v>
      </c>
      <c r="C21" s="31" t="s">
        <v>49</v>
      </c>
      <c r="D21" s="31" t="s">
        <v>50</v>
      </c>
      <c r="E21" s="67" t="str">
        <f>'Master Score'!G19</f>
        <v/>
      </c>
      <c r="F21" s="126">
        <v>2</v>
      </c>
      <c r="G21" s="125" t="str">
        <f t="shared" si="0"/>
        <v/>
      </c>
      <c r="H21" s="126">
        <v>2</v>
      </c>
      <c r="I21" s="125" t="str">
        <f t="shared" ref="I21" si="22">IF($E21="","",IF(H21=$E21,1,0))</f>
        <v/>
      </c>
      <c r="J21" s="126">
        <v>2</v>
      </c>
      <c r="K21" s="125" t="str">
        <f t="shared" si="12"/>
        <v/>
      </c>
      <c r="L21" s="126">
        <v>2</v>
      </c>
      <c r="M21" s="125" t="str">
        <f t="shared" si="9"/>
        <v/>
      </c>
      <c r="N21" s="117">
        <v>2</v>
      </c>
      <c r="O21" t="str">
        <f t="shared" si="10"/>
        <v/>
      </c>
    </row>
    <row r="22" spans="1:17" x14ac:dyDescent="0.25">
      <c r="A22" s="26">
        <v>46190</v>
      </c>
      <c r="B22" s="44" t="s">
        <v>51</v>
      </c>
      <c r="C22" s="28" t="s">
        <v>52</v>
      </c>
      <c r="D22" s="28" t="s">
        <v>53</v>
      </c>
      <c r="E22" s="60" t="str">
        <f>'Master Score'!G20</f>
        <v/>
      </c>
      <c r="F22" s="126">
        <v>1</v>
      </c>
      <c r="G22" s="125" t="str">
        <f t="shared" si="0"/>
        <v/>
      </c>
      <c r="H22" s="126">
        <v>1</v>
      </c>
      <c r="I22" s="125" t="str">
        <f t="shared" ref="I22" si="23">IF($E22="","",IF(H22=$E22,1,0))</f>
        <v/>
      </c>
      <c r="J22" s="126">
        <v>1</v>
      </c>
      <c r="K22" s="125" t="str">
        <f t="shared" si="12"/>
        <v/>
      </c>
      <c r="L22" s="126">
        <v>1</v>
      </c>
      <c r="M22" s="125" t="str">
        <f t="shared" si="9"/>
        <v/>
      </c>
      <c r="N22" s="117">
        <v>1</v>
      </c>
      <c r="O22" t="str">
        <f t="shared" si="10"/>
        <v/>
      </c>
    </row>
    <row r="23" spans="1:17" x14ac:dyDescent="0.25">
      <c r="A23" s="26">
        <v>46190</v>
      </c>
      <c r="B23" s="44" t="s">
        <v>51</v>
      </c>
      <c r="C23" s="28" t="s">
        <v>54</v>
      </c>
      <c r="D23" s="28" t="s">
        <v>55</v>
      </c>
      <c r="E23" s="60" t="str">
        <f>'Master Score'!G21</f>
        <v/>
      </c>
      <c r="F23" s="126">
        <v>1</v>
      </c>
      <c r="G23" s="125" t="str">
        <f t="shared" si="0"/>
        <v/>
      </c>
      <c r="H23" s="126">
        <v>1</v>
      </c>
      <c r="I23" s="125" t="str">
        <f t="shared" ref="I23" si="24">IF($E23="","",IF(H23=$E23,1,0))</f>
        <v/>
      </c>
      <c r="J23" s="126">
        <v>1</v>
      </c>
      <c r="K23" s="125" t="str">
        <f t="shared" si="12"/>
        <v/>
      </c>
      <c r="L23" s="126">
        <v>1</v>
      </c>
      <c r="M23" s="125" t="str">
        <f t="shared" si="9"/>
        <v/>
      </c>
      <c r="N23" s="117">
        <v>1</v>
      </c>
      <c r="O23" t="str">
        <f t="shared" si="10"/>
        <v/>
      </c>
    </row>
    <row r="24" spans="1:17" x14ac:dyDescent="0.25">
      <c r="A24" s="26">
        <v>46190</v>
      </c>
      <c r="B24" s="45" t="s">
        <v>56</v>
      </c>
      <c r="C24" s="28" t="s">
        <v>57</v>
      </c>
      <c r="D24" s="28" t="s">
        <v>58</v>
      </c>
      <c r="E24" s="60" t="str">
        <f>'Master Score'!G22</f>
        <v/>
      </c>
      <c r="F24" s="126">
        <v>1</v>
      </c>
      <c r="G24" s="125" t="str">
        <f t="shared" si="0"/>
        <v/>
      </c>
      <c r="H24" s="126">
        <v>1</v>
      </c>
      <c r="I24" s="125" t="str">
        <f t="shared" ref="I24" si="25">IF($E24="","",IF(H24=$E24,1,0))</f>
        <v/>
      </c>
      <c r="J24" s="126">
        <v>1</v>
      </c>
      <c r="K24" s="125" t="str">
        <f t="shared" si="12"/>
        <v/>
      </c>
      <c r="L24" s="126">
        <v>1</v>
      </c>
      <c r="M24" s="125" t="str">
        <f t="shared" si="9"/>
        <v/>
      </c>
      <c r="N24" s="117">
        <v>1</v>
      </c>
      <c r="O24" t="str">
        <f t="shared" si="10"/>
        <v/>
      </c>
    </row>
    <row r="25" spans="1:17" x14ac:dyDescent="0.25">
      <c r="A25" s="29">
        <v>46190</v>
      </c>
      <c r="B25" s="46" t="s">
        <v>61</v>
      </c>
      <c r="C25" s="31" t="s">
        <v>62</v>
      </c>
      <c r="D25" s="31" t="s">
        <v>63</v>
      </c>
      <c r="E25" s="67" t="str">
        <f>'Master Score'!G23</f>
        <v/>
      </c>
      <c r="F25" s="126" t="s">
        <v>94</v>
      </c>
      <c r="G25" s="125" t="str">
        <f t="shared" si="0"/>
        <v/>
      </c>
      <c r="H25" s="126">
        <v>1</v>
      </c>
      <c r="I25" s="125" t="str">
        <f t="shared" ref="I25" si="26">IF($E25="","",IF(H25=$E25,1,0))</f>
        <v/>
      </c>
      <c r="J25" s="126">
        <v>1</v>
      </c>
      <c r="K25" s="125" t="str">
        <f t="shared" si="12"/>
        <v/>
      </c>
      <c r="L25" s="126" t="s">
        <v>94</v>
      </c>
      <c r="M25" s="125" t="str">
        <f t="shared" si="9"/>
        <v/>
      </c>
      <c r="N25" s="117">
        <v>1</v>
      </c>
      <c r="O25" t="str">
        <f t="shared" si="10"/>
        <v/>
      </c>
    </row>
    <row r="26" spans="1:17" x14ac:dyDescent="0.25">
      <c r="A26" s="26">
        <v>46191</v>
      </c>
      <c r="B26" s="45" t="s">
        <v>56</v>
      </c>
      <c r="C26" s="28" t="s">
        <v>59</v>
      </c>
      <c r="D26" s="28" t="s">
        <v>60</v>
      </c>
      <c r="E26" s="60" t="str">
        <f>'Master Score'!G24</f>
        <v/>
      </c>
      <c r="F26" s="126">
        <v>2</v>
      </c>
      <c r="G26" s="125" t="str">
        <f t="shared" si="0"/>
        <v/>
      </c>
      <c r="H26" s="126">
        <v>2</v>
      </c>
      <c r="I26" s="125" t="str">
        <f t="shared" ref="I26" si="27">IF($E26="","",IF(H26=$E26,1,0))</f>
        <v/>
      </c>
      <c r="J26" s="126">
        <v>2</v>
      </c>
      <c r="K26" s="125" t="str">
        <f t="shared" si="12"/>
        <v/>
      </c>
      <c r="L26" s="126">
        <v>2</v>
      </c>
      <c r="M26" s="125" t="str">
        <f t="shared" si="9"/>
        <v/>
      </c>
      <c r="N26" s="117">
        <v>2</v>
      </c>
      <c r="O26" t="str">
        <f t="shared" si="10"/>
        <v/>
      </c>
    </row>
    <row r="27" spans="1:17" x14ac:dyDescent="0.25">
      <c r="A27" s="26">
        <v>46191</v>
      </c>
      <c r="B27" s="47" t="s">
        <v>61</v>
      </c>
      <c r="C27" s="28" t="s">
        <v>64</v>
      </c>
      <c r="D27" s="28" t="s">
        <v>65</v>
      </c>
      <c r="E27" s="60" t="str">
        <f>'Master Score'!G25</f>
        <v/>
      </c>
      <c r="F27" s="126">
        <v>1</v>
      </c>
      <c r="G27" s="125" t="str">
        <f t="shared" si="0"/>
        <v/>
      </c>
      <c r="H27" s="126">
        <v>1</v>
      </c>
      <c r="I27" s="125" t="str">
        <f t="shared" ref="I27" si="28">IF($E27="","",IF(H27=$E27,1,0))</f>
        <v/>
      </c>
      <c r="J27" s="126" t="s">
        <v>94</v>
      </c>
      <c r="K27" s="125" t="str">
        <f t="shared" si="12"/>
        <v/>
      </c>
      <c r="L27" s="126" t="s">
        <v>94</v>
      </c>
      <c r="M27" s="125" t="str">
        <f t="shared" si="9"/>
        <v/>
      </c>
      <c r="N27" s="117">
        <v>1</v>
      </c>
      <c r="O27" t="str">
        <f t="shared" si="10"/>
        <v/>
      </c>
    </row>
    <row r="28" spans="1:17" x14ac:dyDescent="0.25">
      <c r="A28" s="26">
        <v>46191</v>
      </c>
      <c r="B28" s="27" t="s">
        <v>6</v>
      </c>
      <c r="C28" s="28" t="s">
        <v>10</v>
      </c>
      <c r="D28" s="28" t="s">
        <v>8</v>
      </c>
      <c r="E28" s="60" t="str">
        <f>'Master Score'!G26</f>
        <v/>
      </c>
      <c r="F28" s="126" t="s">
        <v>94</v>
      </c>
      <c r="G28" s="125" t="str">
        <f t="shared" si="0"/>
        <v/>
      </c>
      <c r="H28" s="126">
        <v>1</v>
      </c>
      <c r="I28" s="125" t="str">
        <f t="shared" ref="I28" si="29">IF($E28="","",IF(H28=$E28,1,0))</f>
        <v/>
      </c>
      <c r="J28" s="126">
        <v>1</v>
      </c>
      <c r="K28" s="125" t="str">
        <f t="shared" si="12"/>
        <v/>
      </c>
      <c r="L28" s="126">
        <v>1</v>
      </c>
      <c r="M28" s="125" t="str">
        <f t="shared" si="9"/>
        <v/>
      </c>
      <c r="N28" s="117">
        <v>1</v>
      </c>
      <c r="O28" t="str">
        <f t="shared" si="10"/>
        <v/>
      </c>
    </row>
    <row r="29" spans="1:17" x14ac:dyDescent="0.25">
      <c r="A29" s="26">
        <v>46191</v>
      </c>
      <c r="B29" s="33" t="s">
        <v>11</v>
      </c>
      <c r="C29" s="28" t="s">
        <v>15</v>
      </c>
      <c r="D29" s="28" t="s">
        <v>13</v>
      </c>
      <c r="E29" s="60" t="str">
        <f>'Master Score'!G27</f>
        <v/>
      </c>
      <c r="F29" s="126">
        <v>1</v>
      </c>
      <c r="G29" s="125" t="str">
        <f t="shared" si="0"/>
        <v/>
      </c>
      <c r="H29" s="126">
        <v>1</v>
      </c>
      <c r="I29" s="125" t="str">
        <f t="shared" ref="I29" si="30">IF($E29="","",IF(H29=$E29,1,0))</f>
        <v/>
      </c>
      <c r="J29" s="126">
        <v>1</v>
      </c>
      <c r="K29" s="125" t="str">
        <f t="shared" si="12"/>
        <v/>
      </c>
      <c r="L29" s="126">
        <v>1</v>
      </c>
      <c r="M29" s="125" t="str">
        <f t="shared" si="9"/>
        <v/>
      </c>
      <c r="N29" s="117">
        <v>1</v>
      </c>
      <c r="O29" t="str">
        <f t="shared" si="10"/>
        <v/>
      </c>
      <c r="Q29" t="s">
        <v>7</v>
      </c>
    </row>
    <row r="30" spans="1:17" x14ac:dyDescent="0.25">
      <c r="A30" s="29">
        <v>46191</v>
      </c>
      <c r="B30" s="30" t="s">
        <v>11</v>
      </c>
      <c r="C30" s="31" t="s">
        <v>12</v>
      </c>
      <c r="D30" s="31" t="s">
        <v>14</v>
      </c>
      <c r="E30" s="67" t="str">
        <f>'Master Score'!G28</f>
        <v/>
      </c>
      <c r="F30" s="126">
        <v>1</v>
      </c>
      <c r="G30" s="125" t="str">
        <f t="shared" si="0"/>
        <v/>
      </c>
      <c r="H30" s="126">
        <v>1</v>
      </c>
      <c r="I30" s="125" t="str">
        <f t="shared" ref="I30" si="31">IF($E30="","",IF(H30=$E30,1,0))</f>
        <v/>
      </c>
      <c r="J30" s="126">
        <v>1</v>
      </c>
      <c r="K30" s="125" t="str">
        <f t="shared" si="12"/>
        <v/>
      </c>
      <c r="L30" s="126">
        <v>1</v>
      </c>
      <c r="M30" s="125" t="str">
        <f t="shared" si="9"/>
        <v/>
      </c>
      <c r="N30" s="117">
        <v>1</v>
      </c>
      <c r="O30" t="str">
        <f t="shared" si="10"/>
        <v/>
      </c>
      <c r="Q30" t="s">
        <v>10</v>
      </c>
    </row>
    <row r="31" spans="1:17" x14ac:dyDescent="0.25">
      <c r="A31" s="26">
        <v>46192</v>
      </c>
      <c r="B31" s="27" t="s">
        <v>6</v>
      </c>
      <c r="C31" s="28" t="s">
        <v>7</v>
      </c>
      <c r="D31" s="28" t="s">
        <v>9</v>
      </c>
      <c r="E31" s="60" t="str">
        <f>'Master Score'!G29</f>
        <v/>
      </c>
      <c r="F31" s="126">
        <v>1</v>
      </c>
      <c r="G31" s="125" t="str">
        <f t="shared" si="0"/>
        <v/>
      </c>
      <c r="H31" s="126">
        <v>1</v>
      </c>
      <c r="I31" s="125" t="str">
        <f t="shared" ref="I31" si="32">IF($E31="","",IF(H31=$E31,1,0))</f>
        <v/>
      </c>
      <c r="J31" s="126" t="s">
        <v>94</v>
      </c>
      <c r="K31" s="125" t="str">
        <f t="shared" si="12"/>
        <v/>
      </c>
      <c r="L31" s="126">
        <v>1</v>
      </c>
      <c r="M31" s="125" t="str">
        <f t="shared" si="9"/>
        <v/>
      </c>
      <c r="N31" s="117">
        <v>1</v>
      </c>
      <c r="O31" t="str">
        <f t="shared" si="10"/>
        <v/>
      </c>
      <c r="Q31" t="s">
        <v>9</v>
      </c>
    </row>
    <row r="32" spans="1:17" x14ac:dyDescent="0.25">
      <c r="A32" s="26">
        <v>46192</v>
      </c>
      <c r="B32" s="35" t="s">
        <v>16</v>
      </c>
      <c r="C32" s="28" t="s">
        <v>20</v>
      </c>
      <c r="D32" s="28" t="s">
        <v>18</v>
      </c>
      <c r="E32" s="60" t="str">
        <f>'Master Score'!G30</f>
        <v/>
      </c>
      <c r="F32" s="126" t="s">
        <v>94</v>
      </c>
      <c r="G32" s="125" t="str">
        <f t="shared" si="0"/>
        <v/>
      </c>
      <c r="H32" s="126">
        <v>2</v>
      </c>
      <c r="I32" s="125" t="str">
        <f t="shared" ref="I32" si="33">IF($E32="","",IF(H32=$E32,1,0))</f>
        <v/>
      </c>
      <c r="J32" s="126">
        <v>2</v>
      </c>
      <c r="K32" s="125" t="str">
        <f t="shared" si="12"/>
        <v/>
      </c>
      <c r="L32" s="126">
        <v>2</v>
      </c>
      <c r="M32" s="125" t="str">
        <f t="shared" si="9"/>
        <v/>
      </c>
      <c r="N32" s="117">
        <v>2</v>
      </c>
      <c r="O32" t="str">
        <f t="shared" si="10"/>
        <v/>
      </c>
      <c r="Q32" t="s">
        <v>8</v>
      </c>
    </row>
    <row r="33" spans="1:17" x14ac:dyDescent="0.25">
      <c r="A33" s="29">
        <v>46192</v>
      </c>
      <c r="B33" s="48" t="s">
        <v>21</v>
      </c>
      <c r="C33" s="31" t="s">
        <v>22</v>
      </c>
      <c r="D33" s="31" t="s">
        <v>24</v>
      </c>
      <c r="E33" s="67" t="str">
        <f>'Master Score'!G31</f>
        <v/>
      </c>
      <c r="F33" s="126" t="s">
        <v>94</v>
      </c>
      <c r="G33" s="125" t="str">
        <f t="shared" si="0"/>
        <v/>
      </c>
      <c r="H33" s="126">
        <v>1</v>
      </c>
      <c r="I33" s="125" t="str">
        <f t="shared" ref="I33" si="34">IF($E33="","",IF(H33=$E33,1,0))</f>
        <v/>
      </c>
      <c r="J33" s="126" t="s">
        <v>94</v>
      </c>
      <c r="K33" s="125" t="str">
        <f t="shared" si="12"/>
        <v/>
      </c>
      <c r="L33" s="126">
        <v>1</v>
      </c>
      <c r="M33" s="125" t="str">
        <f t="shared" si="9"/>
        <v/>
      </c>
      <c r="N33" s="117">
        <v>1</v>
      </c>
      <c r="O33" t="str">
        <f t="shared" si="10"/>
        <v/>
      </c>
      <c r="Q33" t="s">
        <v>13</v>
      </c>
    </row>
    <row r="34" spans="1:17" x14ac:dyDescent="0.25">
      <c r="A34" s="26">
        <v>46193</v>
      </c>
      <c r="B34" s="35" t="s">
        <v>16</v>
      </c>
      <c r="C34" s="28" t="s">
        <v>17</v>
      </c>
      <c r="D34" s="28" t="s">
        <v>19</v>
      </c>
      <c r="E34" s="60" t="str">
        <f>'Master Score'!G32</f>
        <v/>
      </c>
      <c r="F34" s="126">
        <v>1</v>
      </c>
      <c r="G34" s="125" t="str">
        <f t="shared" si="0"/>
        <v/>
      </c>
      <c r="H34" s="126">
        <v>1</v>
      </c>
      <c r="I34" s="125" t="str">
        <f t="shared" ref="I34" si="35">IF($E34="","",IF(H34=$E34,1,0))</f>
        <v/>
      </c>
      <c r="J34" s="126">
        <v>1</v>
      </c>
      <c r="K34" s="125" t="str">
        <f t="shared" si="12"/>
        <v/>
      </c>
      <c r="L34" s="126">
        <v>1</v>
      </c>
      <c r="M34" s="125" t="str">
        <f t="shared" si="9"/>
        <v/>
      </c>
      <c r="N34" s="117">
        <v>1</v>
      </c>
      <c r="O34" t="str">
        <f t="shared" si="10"/>
        <v/>
      </c>
      <c r="Q34" t="s">
        <v>14</v>
      </c>
    </row>
    <row r="35" spans="1:17" x14ac:dyDescent="0.25">
      <c r="A35" s="26">
        <v>46193</v>
      </c>
      <c r="B35" s="32" t="s">
        <v>21</v>
      </c>
      <c r="C35" s="28" t="s">
        <v>25</v>
      </c>
      <c r="D35" s="28" t="s">
        <v>23</v>
      </c>
      <c r="E35" s="60" t="str">
        <f>'Master Score'!G33</f>
        <v/>
      </c>
      <c r="F35" s="126">
        <v>1</v>
      </c>
      <c r="G35" s="125" t="str">
        <f t="shared" si="0"/>
        <v/>
      </c>
      <c r="H35" s="126" t="s">
        <v>94</v>
      </c>
      <c r="I35" s="125" t="str">
        <f t="shared" ref="I35" si="36">IF($E35="","",IF(H35=$E35,1,0))</f>
        <v/>
      </c>
      <c r="J35" s="126">
        <v>1</v>
      </c>
      <c r="K35" s="125" t="str">
        <f t="shared" si="12"/>
        <v/>
      </c>
      <c r="L35" s="126">
        <v>1</v>
      </c>
      <c r="M35" s="125" t="str">
        <f t="shared" si="9"/>
        <v/>
      </c>
      <c r="N35" s="117">
        <v>1</v>
      </c>
      <c r="O35" t="str">
        <f t="shared" si="10"/>
        <v/>
      </c>
      <c r="Q35" t="s">
        <v>15</v>
      </c>
    </row>
    <row r="36" spans="1:17" x14ac:dyDescent="0.25">
      <c r="A36" s="26">
        <v>46193</v>
      </c>
      <c r="B36" s="36" t="s">
        <v>26</v>
      </c>
      <c r="C36" s="28" t="s">
        <v>27</v>
      </c>
      <c r="D36" s="28" t="s">
        <v>29</v>
      </c>
      <c r="E36" s="60" t="str">
        <f>'Master Score'!G34</f>
        <v/>
      </c>
      <c r="F36" s="126">
        <v>1</v>
      </c>
      <c r="G36" s="125" t="str">
        <f t="shared" si="0"/>
        <v/>
      </c>
      <c r="H36" s="126">
        <v>1</v>
      </c>
      <c r="I36" s="125" t="str">
        <f t="shared" ref="I36" si="37">IF($E36="","",IF(H36=$E36,1,0))</f>
        <v/>
      </c>
      <c r="J36" s="126">
        <v>1</v>
      </c>
      <c r="K36" s="125" t="str">
        <f t="shared" si="12"/>
        <v/>
      </c>
      <c r="L36" s="126">
        <v>1</v>
      </c>
      <c r="M36" s="125" t="str">
        <f t="shared" si="9"/>
        <v/>
      </c>
      <c r="N36" s="117">
        <v>1</v>
      </c>
      <c r="O36" t="str">
        <f t="shared" si="10"/>
        <v/>
      </c>
      <c r="Q36" t="s">
        <v>12</v>
      </c>
    </row>
    <row r="37" spans="1:17" x14ac:dyDescent="0.25">
      <c r="A37" s="29">
        <v>46193</v>
      </c>
      <c r="B37" s="37" t="s">
        <v>31</v>
      </c>
      <c r="C37" s="31" t="s">
        <v>32</v>
      </c>
      <c r="D37" s="31" t="s">
        <v>34</v>
      </c>
      <c r="E37" s="67" t="str">
        <f>'Master Score'!G35</f>
        <v/>
      </c>
      <c r="F37" s="126">
        <v>1</v>
      </c>
      <c r="G37" s="125" t="str">
        <f t="shared" si="0"/>
        <v/>
      </c>
      <c r="H37" s="126">
        <v>1</v>
      </c>
      <c r="I37" s="125" t="str">
        <f t="shared" ref="I37" si="38">IF($E37="","",IF(H37=$E37,1,0))</f>
        <v/>
      </c>
      <c r="J37" s="126">
        <v>1</v>
      </c>
      <c r="K37" s="125" t="str">
        <f t="shared" si="12"/>
        <v/>
      </c>
      <c r="L37" s="126">
        <v>1</v>
      </c>
      <c r="M37" s="125" t="str">
        <f t="shared" si="9"/>
        <v/>
      </c>
      <c r="N37" s="117">
        <v>1</v>
      </c>
      <c r="O37" t="str">
        <f t="shared" si="10"/>
        <v/>
      </c>
      <c r="Q37" t="s">
        <v>17</v>
      </c>
    </row>
    <row r="38" spans="1:17" x14ac:dyDescent="0.25">
      <c r="A38" s="26">
        <v>46194</v>
      </c>
      <c r="B38" s="36" t="s">
        <v>26</v>
      </c>
      <c r="C38" s="28" t="s">
        <v>30</v>
      </c>
      <c r="D38" s="28" t="s">
        <v>28</v>
      </c>
      <c r="E38" s="60" t="str">
        <f>'Master Score'!G36</f>
        <v/>
      </c>
      <c r="F38" s="126" t="s">
        <v>94</v>
      </c>
      <c r="G38" s="125" t="str">
        <f t="shared" si="0"/>
        <v/>
      </c>
      <c r="H38" s="126">
        <v>1</v>
      </c>
      <c r="I38" s="125" t="str">
        <f t="shared" ref="I38" si="39">IF($E38="","",IF(H38=$E38,1,0))</f>
        <v/>
      </c>
      <c r="J38" s="126">
        <v>1</v>
      </c>
      <c r="K38" s="125" t="str">
        <f t="shared" si="12"/>
        <v/>
      </c>
      <c r="L38" s="126">
        <v>1</v>
      </c>
      <c r="M38" s="125" t="str">
        <f t="shared" si="9"/>
        <v/>
      </c>
      <c r="N38" s="117">
        <v>1</v>
      </c>
      <c r="O38" t="str">
        <f t="shared" si="10"/>
        <v/>
      </c>
      <c r="Q38" t="s">
        <v>19</v>
      </c>
    </row>
    <row r="39" spans="1:17" x14ac:dyDescent="0.25">
      <c r="A39" s="26">
        <v>46194</v>
      </c>
      <c r="B39" s="38" t="s">
        <v>31</v>
      </c>
      <c r="C39" s="28" t="s">
        <v>35</v>
      </c>
      <c r="D39" s="28" t="s">
        <v>33</v>
      </c>
      <c r="E39" s="60" t="str">
        <f>'Master Score'!G37</f>
        <v/>
      </c>
      <c r="F39" s="126">
        <v>2</v>
      </c>
      <c r="G39" s="125" t="str">
        <f t="shared" si="0"/>
        <v/>
      </c>
      <c r="H39" s="126">
        <v>2</v>
      </c>
      <c r="I39" s="125" t="str">
        <f t="shared" ref="I39" si="40">IF($E39="","",IF(H39=$E39,1,0))</f>
        <v/>
      </c>
      <c r="J39" s="126">
        <v>2</v>
      </c>
      <c r="K39" s="125" t="str">
        <f t="shared" si="12"/>
        <v/>
      </c>
      <c r="L39" s="126">
        <v>2</v>
      </c>
      <c r="M39" s="125" t="str">
        <f t="shared" si="9"/>
        <v/>
      </c>
      <c r="N39" s="117">
        <v>2</v>
      </c>
      <c r="O39" t="str">
        <f t="shared" si="10"/>
        <v/>
      </c>
      <c r="Q39" t="s">
        <v>18</v>
      </c>
    </row>
    <row r="40" spans="1:17" x14ac:dyDescent="0.25">
      <c r="A40" s="26">
        <v>46194</v>
      </c>
      <c r="B40" s="39" t="s">
        <v>36</v>
      </c>
      <c r="C40" s="28" t="s">
        <v>37</v>
      </c>
      <c r="D40" s="28" t="s">
        <v>39</v>
      </c>
      <c r="E40" s="60" t="str">
        <f>'Master Score'!G38</f>
        <v/>
      </c>
      <c r="F40" s="126" t="s">
        <v>94</v>
      </c>
      <c r="G40" s="125" t="str">
        <f t="shared" si="0"/>
        <v/>
      </c>
      <c r="H40" s="126" t="s">
        <v>94</v>
      </c>
      <c r="I40" s="125" t="str">
        <f t="shared" ref="I40" si="41">IF($E40="","",IF(H40=$E40,1,0))</f>
        <v/>
      </c>
      <c r="J40" s="126">
        <v>1</v>
      </c>
      <c r="K40" s="125" t="str">
        <f t="shared" si="12"/>
        <v/>
      </c>
      <c r="L40" s="126">
        <v>1</v>
      </c>
      <c r="M40" s="125" t="str">
        <f t="shared" si="9"/>
        <v/>
      </c>
      <c r="N40" s="117">
        <v>1</v>
      </c>
      <c r="O40" t="str">
        <f t="shared" si="10"/>
        <v/>
      </c>
      <c r="Q40" t="s">
        <v>20</v>
      </c>
    </row>
    <row r="41" spans="1:17" x14ac:dyDescent="0.25">
      <c r="A41" s="26">
        <v>46194</v>
      </c>
      <c r="B41" s="40" t="s">
        <v>41</v>
      </c>
      <c r="C41" s="28" t="s">
        <v>42</v>
      </c>
      <c r="D41" s="28" t="s">
        <v>44</v>
      </c>
      <c r="E41" s="60" t="str">
        <f>'Master Score'!G39</f>
        <v/>
      </c>
      <c r="F41" s="126">
        <v>1</v>
      </c>
      <c r="G41" s="125" t="str">
        <f t="shared" si="0"/>
        <v/>
      </c>
      <c r="H41" s="126">
        <v>1</v>
      </c>
      <c r="I41" s="125" t="str">
        <f t="shared" ref="I41" si="42">IF($E41="","",IF(H41=$E41,1,0))</f>
        <v/>
      </c>
      <c r="J41" s="126">
        <v>1</v>
      </c>
      <c r="K41" s="125" t="str">
        <f t="shared" si="12"/>
        <v/>
      </c>
      <c r="L41" s="126">
        <v>1</v>
      </c>
      <c r="M41" s="125" t="str">
        <f t="shared" si="9"/>
        <v/>
      </c>
      <c r="N41" s="117">
        <v>1</v>
      </c>
      <c r="O41" t="str">
        <f t="shared" si="10"/>
        <v/>
      </c>
      <c r="Q41" t="s">
        <v>24</v>
      </c>
    </row>
    <row r="42" spans="1:17" x14ac:dyDescent="0.25">
      <c r="A42" s="29">
        <v>46194</v>
      </c>
      <c r="B42" s="41" t="s">
        <v>41</v>
      </c>
      <c r="C42" s="31" t="s">
        <v>45</v>
      </c>
      <c r="D42" s="31" t="s">
        <v>43</v>
      </c>
      <c r="E42" s="67" t="str">
        <f>'Master Score'!G40</f>
        <v/>
      </c>
      <c r="F42" s="126">
        <v>1</v>
      </c>
      <c r="G42" s="125" t="str">
        <f t="shared" si="0"/>
        <v/>
      </c>
      <c r="H42" s="126">
        <v>1</v>
      </c>
      <c r="I42" s="125" t="str">
        <f t="shared" ref="I42" si="43">IF($E42="","",IF(H42=$E42,1,0))</f>
        <v/>
      </c>
      <c r="J42" s="126">
        <v>1</v>
      </c>
      <c r="K42" s="125" t="str">
        <f t="shared" si="12"/>
        <v/>
      </c>
      <c r="L42" s="126">
        <v>1</v>
      </c>
      <c r="M42" s="125" t="str">
        <f t="shared" si="9"/>
        <v/>
      </c>
      <c r="N42" s="117">
        <v>1</v>
      </c>
      <c r="O42" t="str">
        <f t="shared" si="10"/>
        <v/>
      </c>
      <c r="Q42" t="s">
        <v>23</v>
      </c>
    </row>
    <row r="43" spans="1:17" x14ac:dyDescent="0.25">
      <c r="A43" s="26">
        <v>46195</v>
      </c>
      <c r="B43" s="39" t="s">
        <v>36</v>
      </c>
      <c r="C43" s="28" t="s">
        <v>40</v>
      </c>
      <c r="D43" s="28" t="s">
        <v>38</v>
      </c>
      <c r="E43" s="60" t="str">
        <f>'Master Score'!G41</f>
        <v/>
      </c>
      <c r="F43" s="126" t="s">
        <v>94</v>
      </c>
      <c r="G43" s="125" t="str">
        <f t="shared" si="0"/>
        <v/>
      </c>
      <c r="H43" s="126">
        <v>2</v>
      </c>
      <c r="I43" s="125" t="str">
        <f t="shared" ref="I43" si="44">IF($E43="","",IF(H43=$E43,1,0))</f>
        <v/>
      </c>
      <c r="J43" s="126">
        <v>2</v>
      </c>
      <c r="K43" s="125" t="str">
        <f t="shared" si="12"/>
        <v/>
      </c>
      <c r="L43" s="126">
        <v>2</v>
      </c>
      <c r="M43" s="125" t="str">
        <f t="shared" si="9"/>
        <v/>
      </c>
      <c r="N43" s="117">
        <v>2</v>
      </c>
      <c r="O43" t="str">
        <f t="shared" si="10"/>
        <v/>
      </c>
      <c r="Q43" t="s">
        <v>25</v>
      </c>
    </row>
    <row r="44" spans="1:17" x14ac:dyDescent="0.25">
      <c r="A44" s="26">
        <v>46195</v>
      </c>
      <c r="B44" s="42" t="s">
        <v>46</v>
      </c>
      <c r="C44" s="28" t="s">
        <v>47</v>
      </c>
      <c r="D44" s="28" t="s">
        <v>49</v>
      </c>
      <c r="E44" s="60" t="str">
        <f>'Master Score'!G42</f>
        <v/>
      </c>
      <c r="F44" s="126">
        <v>1</v>
      </c>
      <c r="G44" s="125" t="str">
        <f t="shared" si="0"/>
        <v/>
      </c>
      <c r="H44" s="126">
        <v>1</v>
      </c>
      <c r="I44" s="125" t="str">
        <f t="shared" ref="I44" si="45">IF($E44="","",IF(H44=$E44,1,0))</f>
        <v/>
      </c>
      <c r="J44" s="126">
        <v>1</v>
      </c>
      <c r="K44" s="125" t="str">
        <f t="shared" si="12"/>
        <v/>
      </c>
      <c r="L44" s="126">
        <v>1</v>
      </c>
      <c r="M44" s="125" t="str">
        <f t="shared" si="9"/>
        <v/>
      </c>
      <c r="N44" s="117">
        <v>1</v>
      </c>
      <c r="O44" t="str">
        <f t="shared" si="10"/>
        <v/>
      </c>
      <c r="Q44" t="s">
        <v>22</v>
      </c>
    </row>
    <row r="45" spans="1:17" x14ac:dyDescent="0.25">
      <c r="A45" s="29">
        <v>46195</v>
      </c>
      <c r="B45" s="49" t="s">
        <v>51</v>
      </c>
      <c r="C45" s="31" t="s">
        <v>52</v>
      </c>
      <c r="D45" s="31" t="s">
        <v>54</v>
      </c>
      <c r="E45" s="67" t="str">
        <f>'Master Score'!G43</f>
        <v/>
      </c>
      <c r="F45" s="126">
        <v>1</v>
      </c>
      <c r="G45" s="125" t="str">
        <f t="shared" si="0"/>
        <v/>
      </c>
      <c r="H45" s="126" t="s">
        <v>94</v>
      </c>
      <c r="I45" s="125" t="str">
        <f t="shared" ref="I45" si="46">IF($E45="","",IF(H45=$E45,1,0))</f>
        <v/>
      </c>
      <c r="J45" s="126">
        <v>1</v>
      </c>
      <c r="K45" s="125" t="str">
        <f t="shared" si="12"/>
        <v/>
      </c>
      <c r="L45" s="126">
        <v>1</v>
      </c>
      <c r="M45" s="125" t="str">
        <f t="shared" si="9"/>
        <v/>
      </c>
      <c r="N45" s="117">
        <v>1</v>
      </c>
      <c r="O45" t="str">
        <f t="shared" si="10"/>
        <v/>
      </c>
      <c r="Q45" t="s">
        <v>28</v>
      </c>
    </row>
    <row r="46" spans="1:17" x14ac:dyDescent="0.25">
      <c r="A46" s="26">
        <v>46196</v>
      </c>
      <c r="B46" s="42" t="s">
        <v>46</v>
      </c>
      <c r="C46" s="28" t="s">
        <v>50</v>
      </c>
      <c r="D46" s="28" t="s">
        <v>48</v>
      </c>
      <c r="E46" s="60" t="str">
        <f>'Master Score'!G44</f>
        <v/>
      </c>
      <c r="F46" s="126">
        <v>2</v>
      </c>
      <c r="G46" s="125" t="str">
        <f t="shared" si="0"/>
        <v/>
      </c>
      <c r="H46" s="126">
        <v>1</v>
      </c>
      <c r="I46" s="125" t="str">
        <f t="shared" ref="I46" si="47">IF($E46="","",IF(H46=$E46,1,0))</f>
        <v/>
      </c>
      <c r="J46" s="126">
        <v>2</v>
      </c>
      <c r="K46" s="125" t="str">
        <f t="shared" si="12"/>
        <v/>
      </c>
      <c r="L46" s="126" t="s">
        <v>94</v>
      </c>
      <c r="M46" s="125" t="str">
        <f t="shared" si="9"/>
        <v/>
      </c>
      <c r="N46" s="117" t="s">
        <v>94</v>
      </c>
      <c r="O46" t="str">
        <f t="shared" si="10"/>
        <v/>
      </c>
      <c r="Q46" t="s">
        <v>29</v>
      </c>
    </row>
    <row r="47" spans="1:17" x14ac:dyDescent="0.25">
      <c r="A47" s="26">
        <v>46196</v>
      </c>
      <c r="B47" s="44" t="s">
        <v>51</v>
      </c>
      <c r="C47" s="28" t="s">
        <v>55</v>
      </c>
      <c r="D47" s="28" t="s">
        <v>53</v>
      </c>
      <c r="E47" s="60" t="str">
        <f>'Master Score'!G45</f>
        <v/>
      </c>
      <c r="F47" s="126">
        <v>2</v>
      </c>
      <c r="G47" s="125" t="str">
        <f t="shared" si="0"/>
        <v/>
      </c>
      <c r="H47" s="126">
        <v>2</v>
      </c>
      <c r="I47" s="125" t="str">
        <f t="shared" ref="I47" si="48">IF($E47="","",IF(H47=$E47,1,0))</f>
        <v/>
      </c>
      <c r="J47" s="126">
        <v>2</v>
      </c>
      <c r="K47" s="125" t="str">
        <f t="shared" si="12"/>
        <v/>
      </c>
      <c r="L47" s="126">
        <v>2</v>
      </c>
      <c r="M47" s="125" t="str">
        <f t="shared" si="9"/>
        <v/>
      </c>
      <c r="N47" s="117">
        <v>2</v>
      </c>
      <c r="O47" t="str">
        <f t="shared" si="10"/>
        <v/>
      </c>
      <c r="Q47" t="s">
        <v>30</v>
      </c>
    </row>
    <row r="48" spans="1:17" x14ac:dyDescent="0.25">
      <c r="A48" s="26">
        <v>46196</v>
      </c>
      <c r="B48" s="45" t="s">
        <v>56</v>
      </c>
      <c r="C48" s="28" t="s">
        <v>57</v>
      </c>
      <c r="D48" s="28" t="s">
        <v>59</v>
      </c>
      <c r="E48" s="60" t="str">
        <f>'Master Score'!G46</f>
        <v/>
      </c>
      <c r="F48" s="126">
        <v>1</v>
      </c>
      <c r="G48" s="125" t="str">
        <f t="shared" si="0"/>
        <v/>
      </c>
      <c r="H48" s="126">
        <v>1</v>
      </c>
      <c r="I48" s="125" t="str">
        <f t="shared" ref="I48" si="49">IF($E48="","",IF(H48=$E48,1,0))</f>
        <v/>
      </c>
      <c r="J48" s="126">
        <v>1</v>
      </c>
      <c r="K48" s="125" t="str">
        <f t="shared" si="12"/>
        <v/>
      </c>
      <c r="L48" s="126">
        <v>1</v>
      </c>
      <c r="M48" s="125" t="str">
        <f t="shared" si="9"/>
        <v/>
      </c>
      <c r="N48" s="117">
        <v>1</v>
      </c>
      <c r="O48" t="str">
        <f t="shared" si="10"/>
        <v/>
      </c>
      <c r="Q48" t="s">
        <v>27</v>
      </c>
    </row>
    <row r="49" spans="1:17" x14ac:dyDescent="0.25">
      <c r="A49" s="29">
        <v>46196</v>
      </c>
      <c r="B49" s="46" t="s">
        <v>61</v>
      </c>
      <c r="C49" s="31" t="s">
        <v>62</v>
      </c>
      <c r="D49" s="31" t="s">
        <v>64</v>
      </c>
      <c r="E49" s="67" t="str">
        <f>'Master Score'!G47</f>
        <v/>
      </c>
      <c r="F49" s="126">
        <v>1</v>
      </c>
      <c r="G49" s="125" t="str">
        <f t="shared" si="0"/>
        <v/>
      </c>
      <c r="H49" s="126" t="s">
        <v>94</v>
      </c>
      <c r="I49" s="125" t="str">
        <f t="shared" ref="I49" si="50">IF($E49="","",IF(H49=$E49,1,0))</f>
        <v/>
      </c>
      <c r="J49" s="126">
        <v>1</v>
      </c>
      <c r="K49" s="125" t="str">
        <f t="shared" si="12"/>
        <v/>
      </c>
      <c r="L49" s="126">
        <v>1</v>
      </c>
      <c r="M49" s="125" t="str">
        <f t="shared" si="9"/>
        <v/>
      </c>
      <c r="N49" s="117">
        <v>1</v>
      </c>
      <c r="O49" t="str">
        <f t="shared" si="10"/>
        <v/>
      </c>
      <c r="Q49" t="s">
        <v>33</v>
      </c>
    </row>
    <row r="50" spans="1:17" x14ac:dyDescent="0.25">
      <c r="A50" s="26">
        <v>46197</v>
      </c>
      <c r="B50" s="45" t="s">
        <v>56</v>
      </c>
      <c r="C50" s="28" t="s">
        <v>60</v>
      </c>
      <c r="D50" s="28" t="s">
        <v>58</v>
      </c>
      <c r="E50" s="60" t="str">
        <f>'Master Score'!G48</f>
        <v/>
      </c>
      <c r="F50" s="126" t="s">
        <v>94</v>
      </c>
      <c r="G50" s="125" t="str">
        <f t="shared" si="0"/>
        <v/>
      </c>
      <c r="H50" s="126" t="s">
        <v>94</v>
      </c>
      <c r="I50" s="125" t="str">
        <f t="shared" ref="I50" si="51">IF($E50="","",IF(H50=$E50,1,0))</f>
        <v/>
      </c>
      <c r="J50" s="126">
        <v>1</v>
      </c>
      <c r="K50" s="125" t="str">
        <f t="shared" si="12"/>
        <v/>
      </c>
      <c r="L50" s="126">
        <v>1</v>
      </c>
      <c r="M50" s="125" t="str">
        <f t="shared" si="9"/>
        <v/>
      </c>
      <c r="N50" s="117">
        <v>1</v>
      </c>
      <c r="O50" t="str">
        <f t="shared" si="10"/>
        <v/>
      </c>
      <c r="Q50" t="s">
        <v>32</v>
      </c>
    </row>
    <row r="51" spans="1:17" x14ac:dyDescent="0.25">
      <c r="A51" s="26">
        <v>46197</v>
      </c>
      <c r="B51" s="47" t="s">
        <v>61</v>
      </c>
      <c r="C51" s="28" t="s">
        <v>65</v>
      </c>
      <c r="D51" s="28" t="s">
        <v>63</v>
      </c>
      <c r="E51" s="60" t="str">
        <f>'Master Score'!G49</f>
        <v/>
      </c>
      <c r="F51" s="126">
        <v>2</v>
      </c>
      <c r="G51" s="125" t="str">
        <f t="shared" si="0"/>
        <v/>
      </c>
      <c r="H51" s="126">
        <v>2</v>
      </c>
      <c r="I51" s="125" t="str">
        <f t="shared" ref="I51" si="52">IF($E51="","",IF(H51=$E51,1,0))</f>
        <v/>
      </c>
      <c r="J51" s="126">
        <v>2</v>
      </c>
      <c r="K51" s="125" t="str">
        <f t="shared" si="12"/>
        <v/>
      </c>
      <c r="L51" s="126">
        <v>2</v>
      </c>
      <c r="M51" s="125" t="str">
        <f t="shared" si="9"/>
        <v/>
      </c>
      <c r="N51" s="117">
        <v>2</v>
      </c>
      <c r="O51" t="str">
        <f t="shared" si="10"/>
        <v/>
      </c>
      <c r="Q51" t="s">
        <v>34</v>
      </c>
    </row>
    <row r="52" spans="1:17" x14ac:dyDescent="0.25">
      <c r="A52" s="26">
        <v>46197</v>
      </c>
      <c r="B52" s="33" t="s">
        <v>11</v>
      </c>
      <c r="C52" s="28" t="s">
        <v>15</v>
      </c>
      <c r="D52" s="28" t="s">
        <v>12</v>
      </c>
      <c r="E52" s="60" t="str">
        <f>'Master Score'!G50</f>
        <v/>
      </c>
      <c r="F52" s="126">
        <v>1</v>
      </c>
      <c r="G52" s="125" t="str">
        <f t="shared" si="0"/>
        <v/>
      </c>
      <c r="H52" s="126" t="s">
        <v>94</v>
      </c>
      <c r="I52" s="125" t="str">
        <f t="shared" ref="I52" si="53">IF($E52="","",IF(H52=$E52,1,0))</f>
        <v/>
      </c>
      <c r="J52" s="126">
        <v>1</v>
      </c>
      <c r="K52" s="125" t="str">
        <f t="shared" si="12"/>
        <v/>
      </c>
      <c r="L52" s="126">
        <v>1</v>
      </c>
      <c r="M52" s="125" t="str">
        <f t="shared" si="9"/>
        <v/>
      </c>
      <c r="N52" s="117">
        <v>1</v>
      </c>
      <c r="O52" t="str">
        <f t="shared" si="10"/>
        <v/>
      </c>
      <c r="Q52" t="s">
        <v>35</v>
      </c>
    </row>
    <row r="53" spans="1:17" x14ac:dyDescent="0.25">
      <c r="A53" s="26">
        <v>46197</v>
      </c>
      <c r="B53" s="33" t="s">
        <v>11</v>
      </c>
      <c r="C53" s="28" t="s">
        <v>13</v>
      </c>
      <c r="D53" s="28" t="s">
        <v>14</v>
      </c>
      <c r="E53" s="60" t="str">
        <f>'Master Score'!G51</f>
        <v/>
      </c>
      <c r="F53" s="126" t="s">
        <v>94</v>
      </c>
      <c r="G53" s="125" t="str">
        <f t="shared" si="0"/>
        <v/>
      </c>
      <c r="H53" s="126">
        <v>1</v>
      </c>
      <c r="I53" s="125" t="str">
        <f t="shared" ref="I53" si="54">IF($E53="","",IF(H53=$E53,1,0))</f>
        <v/>
      </c>
      <c r="J53" s="126">
        <v>1</v>
      </c>
      <c r="K53" s="125" t="str">
        <f t="shared" si="12"/>
        <v/>
      </c>
      <c r="L53" s="126">
        <v>1</v>
      </c>
      <c r="M53" s="125" t="str">
        <f t="shared" si="9"/>
        <v/>
      </c>
      <c r="N53" s="117">
        <v>1</v>
      </c>
      <c r="O53" t="str">
        <f t="shared" si="10"/>
        <v/>
      </c>
      <c r="Q53" t="s">
        <v>37</v>
      </c>
    </row>
    <row r="54" spans="1:17" x14ac:dyDescent="0.25">
      <c r="A54" s="26">
        <v>46197</v>
      </c>
      <c r="B54" s="35" t="s">
        <v>16</v>
      </c>
      <c r="C54" s="28" t="s">
        <v>20</v>
      </c>
      <c r="D54" s="28" t="s">
        <v>17</v>
      </c>
      <c r="E54" s="60" t="str">
        <f>'Master Score'!G52</f>
        <v/>
      </c>
      <c r="F54" s="126" t="s">
        <v>94</v>
      </c>
      <c r="G54" s="125" t="str">
        <f t="shared" si="0"/>
        <v/>
      </c>
      <c r="H54" s="126" t="s">
        <v>94</v>
      </c>
      <c r="I54" s="125" t="str">
        <f t="shared" ref="I54" si="55">IF($E54="","",IF(H54=$E54,1,0))</f>
        <v/>
      </c>
      <c r="J54" s="126">
        <v>2</v>
      </c>
      <c r="K54" s="125" t="str">
        <f t="shared" si="12"/>
        <v/>
      </c>
      <c r="L54" s="126">
        <v>2</v>
      </c>
      <c r="M54" s="125" t="str">
        <f t="shared" si="9"/>
        <v/>
      </c>
      <c r="N54" s="117">
        <v>2</v>
      </c>
      <c r="O54" t="str">
        <f t="shared" si="10"/>
        <v/>
      </c>
      <c r="Q54" t="s">
        <v>38</v>
      </c>
    </row>
    <row r="55" spans="1:17" x14ac:dyDescent="0.25">
      <c r="A55" s="29">
        <v>46197</v>
      </c>
      <c r="B55" s="34" t="s">
        <v>16</v>
      </c>
      <c r="C55" s="31" t="s">
        <v>18</v>
      </c>
      <c r="D55" s="31" t="s">
        <v>19</v>
      </c>
      <c r="E55" s="67" t="str">
        <f>'Master Score'!G53</f>
        <v/>
      </c>
      <c r="F55" s="126">
        <v>1</v>
      </c>
      <c r="G55" s="125" t="str">
        <f t="shared" si="0"/>
        <v/>
      </c>
      <c r="H55" s="126">
        <v>1</v>
      </c>
      <c r="I55" s="125" t="str">
        <f t="shared" ref="I55" si="56">IF($E55="","",IF(H55=$E55,1,0))</f>
        <v/>
      </c>
      <c r="J55" s="126">
        <v>1</v>
      </c>
      <c r="K55" s="125" t="str">
        <f t="shared" si="12"/>
        <v/>
      </c>
      <c r="L55" s="126">
        <v>1</v>
      </c>
      <c r="M55" s="125" t="str">
        <f t="shared" si="9"/>
        <v/>
      </c>
      <c r="N55" s="117">
        <v>1</v>
      </c>
      <c r="O55" t="str">
        <f t="shared" si="10"/>
        <v/>
      </c>
      <c r="Q55" t="s">
        <v>39</v>
      </c>
    </row>
    <row r="56" spans="1:17" x14ac:dyDescent="0.25">
      <c r="A56" s="26">
        <v>46198</v>
      </c>
      <c r="B56" s="27" t="s">
        <v>6</v>
      </c>
      <c r="C56" s="28" t="s">
        <v>10</v>
      </c>
      <c r="D56" s="28" t="s">
        <v>7</v>
      </c>
      <c r="E56" s="60" t="str">
        <f>'Master Score'!G54</f>
        <v/>
      </c>
      <c r="F56" s="126">
        <v>2</v>
      </c>
      <c r="G56" s="125" t="str">
        <f t="shared" si="0"/>
        <v/>
      </c>
      <c r="H56" s="126" t="s">
        <v>94</v>
      </c>
      <c r="I56" s="125" t="str">
        <f t="shared" ref="I56" si="57">IF($E56="","",IF(H56=$E56,1,0))</f>
        <v/>
      </c>
      <c r="J56" s="126" t="s">
        <v>94</v>
      </c>
      <c r="K56" s="125" t="str">
        <f t="shared" si="12"/>
        <v/>
      </c>
      <c r="L56" s="126">
        <v>2</v>
      </c>
      <c r="M56" s="125" t="str">
        <f t="shared" si="9"/>
        <v/>
      </c>
      <c r="N56" s="117">
        <v>2</v>
      </c>
      <c r="O56" t="str">
        <f t="shared" si="10"/>
        <v/>
      </c>
      <c r="Q56" t="s">
        <v>40</v>
      </c>
    </row>
    <row r="57" spans="1:17" x14ac:dyDescent="0.25">
      <c r="A57" s="26">
        <v>46198</v>
      </c>
      <c r="B57" s="27" t="s">
        <v>6</v>
      </c>
      <c r="C57" s="28" t="s">
        <v>8</v>
      </c>
      <c r="D57" s="28" t="s">
        <v>9</v>
      </c>
      <c r="E57" s="60" t="str">
        <f>'Master Score'!G55</f>
        <v/>
      </c>
      <c r="F57" s="126">
        <v>2</v>
      </c>
      <c r="G57" s="125" t="str">
        <f t="shared" si="0"/>
        <v/>
      </c>
      <c r="H57" s="126">
        <v>2</v>
      </c>
      <c r="I57" s="125" t="str">
        <f t="shared" ref="I57" si="58">IF($E57="","",IF(H57=$E57,1,0))</f>
        <v/>
      </c>
      <c r="J57" s="126">
        <v>2</v>
      </c>
      <c r="K57" s="125" t="str">
        <f t="shared" si="12"/>
        <v/>
      </c>
      <c r="L57" s="126">
        <v>2</v>
      </c>
      <c r="M57" s="125" t="str">
        <f t="shared" si="9"/>
        <v/>
      </c>
      <c r="N57" s="117">
        <v>2</v>
      </c>
      <c r="O57" t="str">
        <f t="shared" si="10"/>
        <v/>
      </c>
      <c r="Q57" t="s">
        <v>43</v>
      </c>
    </row>
    <row r="58" spans="1:17" x14ac:dyDescent="0.25">
      <c r="A58" s="26">
        <v>46198</v>
      </c>
      <c r="B58" s="36" t="s">
        <v>26</v>
      </c>
      <c r="C58" s="28" t="s">
        <v>30</v>
      </c>
      <c r="D58" s="28" t="s">
        <v>27</v>
      </c>
      <c r="E58" s="60" t="str">
        <f>'Master Score'!G56</f>
        <v/>
      </c>
      <c r="F58" s="126">
        <v>2</v>
      </c>
      <c r="G58" s="125" t="str">
        <f t="shared" si="0"/>
        <v/>
      </c>
      <c r="H58" s="126" t="s">
        <v>94</v>
      </c>
      <c r="I58" s="125" t="str">
        <f t="shared" ref="I58" si="59">IF($E58="","",IF(H58=$E58,1,0))</f>
        <v/>
      </c>
      <c r="J58" s="126">
        <v>2</v>
      </c>
      <c r="K58" s="125" t="str">
        <f t="shared" si="12"/>
        <v/>
      </c>
      <c r="L58" s="126">
        <v>2</v>
      </c>
      <c r="M58" s="125" t="str">
        <f t="shared" si="9"/>
        <v/>
      </c>
      <c r="N58" s="117">
        <v>2</v>
      </c>
      <c r="O58" t="str">
        <f t="shared" si="10"/>
        <v/>
      </c>
      <c r="Q58" t="s">
        <v>44</v>
      </c>
    </row>
    <row r="59" spans="1:17" x14ac:dyDescent="0.25">
      <c r="A59" s="29">
        <v>46198</v>
      </c>
      <c r="B59" s="50" t="s">
        <v>26</v>
      </c>
      <c r="C59" s="31" t="s">
        <v>28</v>
      </c>
      <c r="D59" s="31" t="s">
        <v>29</v>
      </c>
      <c r="E59" s="67" t="str">
        <f>'Master Score'!G57</f>
        <v/>
      </c>
      <c r="F59" s="126">
        <v>2</v>
      </c>
      <c r="G59" s="125" t="str">
        <f t="shared" si="0"/>
        <v/>
      </c>
      <c r="H59" s="126">
        <v>2</v>
      </c>
      <c r="I59" s="125" t="str">
        <f t="shared" ref="I59" si="60">IF($E59="","",IF(H59=$E59,1,0))</f>
        <v/>
      </c>
      <c r="J59" s="126">
        <v>2</v>
      </c>
      <c r="K59" s="125" t="str">
        <f t="shared" si="12"/>
        <v/>
      </c>
      <c r="L59" s="126">
        <v>2</v>
      </c>
      <c r="M59" s="125" t="str">
        <f t="shared" si="9"/>
        <v/>
      </c>
      <c r="N59" s="117">
        <v>2</v>
      </c>
      <c r="O59" t="str">
        <f t="shared" si="10"/>
        <v/>
      </c>
      <c r="Q59" t="s">
        <v>42</v>
      </c>
    </row>
    <row r="60" spans="1:17" x14ac:dyDescent="0.25">
      <c r="A60" s="26">
        <v>46199</v>
      </c>
      <c r="B60" s="32" t="s">
        <v>21</v>
      </c>
      <c r="C60" s="28" t="s">
        <v>25</v>
      </c>
      <c r="D60" s="28" t="s">
        <v>22</v>
      </c>
      <c r="E60" s="60" t="str">
        <f>'Master Score'!G58</f>
        <v/>
      </c>
      <c r="F60" s="126" t="s">
        <v>94</v>
      </c>
      <c r="G60" s="125" t="str">
        <f t="shared" si="0"/>
        <v/>
      </c>
      <c r="H60" s="126">
        <v>1</v>
      </c>
      <c r="I60" s="125" t="str">
        <f t="shared" ref="I60" si="61">IF($E60="","",IF(H60=$E60,1,0))</f>
        <v/>
      </c>
      <c r="J60" s="126" t="s">
        <v>94</v>
      </c>
      <c r="K60" s="125" t="str">
        <f t="shared" si="12"/>
        <v/>
      </c>
      <c r="L60" s="126">
        <v>1</v>
      </c>
      <c r="M60" s="125" t="str">
        <f t="shared" si="9"/>
        <v/>
      </c>
      <c r="N60" s="117">
        <v>1</v>
      </c>
      <c r="O60" t="str">
        <f t="shared" si="10"/>
        <v/>
      </c>
      <c r="Q60" t="s">
        <v>45</v>
      </c>
    </row>
    <row r="61" spans="1:17" x14ac:dyDescent="0.25">
      <c r="A61" s="26">
        <v>46199</v>
      </c>
      <c r="B61" s="32" t="s">
        <v>21</v>
      </c>
      <c r="C61" s="28" t="s">
        <v>23</v>
      </c>
      <c r="D61" s="28" t="s">
        <v>24</v>
      </c>
      <c r="E61" s="60" t="str">
        <f>'Master Score'!G59</f>
        <v/>
      </c>
      <c r="F61" s="126">
        <v>2</v>
      </c>
      <c r="G61" s="125" t="str">
        <f t="shared" si="0"/>
        <v/>
      </c>
      <c r="H61" s="126" t="s">
        <v>94</v>
      </c>
      <c r="I61" s="125" t="str">
        <f t="shared" ref="I61" si="62">IF($E61="","",IF(H61=$E61,1,0))</f>
        <v/>
      </c>
      <c r="J61" s="126" t="s">
        <v>94</v>
      </c>
      <c r="K61" s="125" t="str">
        <f t="shared" si="12"/>
        <v/>
      </c>
      <c r="L61" s="126" t="s">
        <v>94</v>
      </c>
      <c r="M61" s="125" t="str">
        <f t="shared" si="9"/>
        <v/>
      </c>
      <c r="N61" s="117" t="s">
        <v>94</v>
      </c>
      <c r="O61" t="str">
        <f t="shared" si="10"/>
        <v/>
      </c>
      <c r="Q61" t="s">
        <v>47</v>
      </c>
    </row>
    <row r="62" spans="1:17" x14ac:dyDescent="0.25">
      <c r="A62" s="26">
        <v>46199</v>
      </c>
      <c r="B62" s="38" t="s">
        <v>31</v>
      </c>
      <c r="C62" s="28" t="s">
        <v>35</v>
      </c>
      <c r="D62" s="28" t="s">
        <v>32</v>
      </c>
      <c r="E62" s="60" t="str">
        <f>'Master Score'!G60</f>
        <v/>
      </c>
      <c r="F62" s="126">
        <v>2</v>
      </c>
      <c r="G62" s="125" t="str">
        <f t="shared" si="0"/>
        <v/>
      </c>
      <c r="H62" s="126">
        <v>2</v>
      </c>
      <c r="I62" s="125" t="str">
        <f t="shared" ref="I62" si="63">IF($E62="","",IF(H62=$E62,1,0))</f>
        <v/>
      </c>
      <c r="J62" s="126">
        <v>2</v>
      </c>
      <c r="K62" s="125" t="str">
        <f t="shared" si="12"/>
        <v/>
      </c>
      <c r="L62" s="126">
        <v>2</v>
      </c>
      <c r="M62" s="125" t="str">
        <f t="shared" si="9"/>
        <v/>
      </c>
      <c r="N62" s="117">
        <v>2</v>
      </c>
      <c r="O62" t="str">
        <f t="shared" si="10"/>
        <v/>
      </c>
      <c r="Q62" t="s">
        <v>49</v>
      </c>
    </row>
    <row r="63" spans="1:17" x14ac:dyDescent="0.25">
      <c r="A63" s="26">
        <v>46199</v>
      </c>
      <c r="B63" s="38" t="s">
        <v>31</v>
      </c>
      <c r="C63" s="28" t="s">
        <v>33</v>
      </c>
      <c r="D63" s="28" t="s">
        <v>34</v>
      </c>
      <c r="E63" s="60" t="str">
        <f>'Master Score'!G61</f>
        <v/>
      </c>
      <c r="F63" s="126" t="s">
        <v>94</v>
      </c>
      <c r="G63" s="125" t="str">
        <f t="shared" si="0"/>
        <v/>
      </c>
      <c r="H63" s="126">
        <v>1</v>
      </c>
      <c r="I63" s="125" t="str">
        <f t="shared" ref="I63" si="64">IF($E63="","",IF(H63=$E63,1,0))</f>
        <v/>
      </c>
      <c r="J63" s="126">
        <v>1</v>
      </c>
      <c r="K63" s="125" t="str">
        <f t="shared" si="12"/>
        <v/>
      </c>
      <c r="L63" s="126">
        <v>1</v>
      </c>
      <c r="M63" s="125" t="str">
        <f t="shared" si="9"/>
        <v/>
      </c>
      <c r="N63" s="117">
        <v>1</v>
      </c>
      <c r="O63" t="str">
        <f t="shared" si="10"/>
        <v/>
      </c>
      <c r="Q63" t="s">
        <v>50</v>
      </c>
    </row>
    <row r="64" spans="1:17" x14ac:dyDescent="0.25">
      <c r="A64" s="26">
        <v>46199</v>
      </c>
      <c r="B64" s="42" t="s">
        <v>46</v>
      </c>
      <c r="C64" s="28" t="s">
        <v>50</v>
      </c>
      <c r="D64" s="28" t="s">
        <v>47</v>
      </c>
      <c r="E64" s="60" t="str">
        <f>'Master Score'!G62</f>
        <v/>
      </c>
      <c r="F64" s="126">
        <v>2</v>
      </c>
      <c r="G64" s="125" t="str">
        <f t="shared" si="0"/>
        <v/>
      </c>
      <c r="H64" s="126" t="s">
        <v>94</v>
      </c>
      <c r="I64" s="125" t="str">
        <f t="shared" ref="I64" si="65">IF($E64="","",IF(H64=$E64,1,0))</f>
        <v/>
      </c>
      <c r="J64" s="126">
        <v>2</v>
      </c>
      <c r="K64" s="125" t="str">
        <f t="shared" si="12"/>
        <v/>
      </c>
      <c r="L64" s="126">
        <v>2</v>
      </c>
      <c r="M64" s="125" t="str">
        <f t="shared" si="9"/>
        <v/>
      </c>
      <c r="N64" s="117">
        <v>2</v>
      </c>
      <c r="O64" t="str">
        <f t="shared" si="10"/>
        <v/>
      </c>
      <c r="Q64" t="s">
        <v>48</v>
      </c>
    </row>
    <row r="65" spans="1:17" x14ac:dyDescent="0.25">
      <c r="A65" s="29">
        <v>46199</v>
      </c>
      <c r="B65" s="43" t="s">
        <v>46</v>
      </c>
      <c r="C65" s="31" t="s">
        <v>48</v>
      </c>
      <c r="D65" s="31" t="s">
        <v>49</v>
      </c>
      <c r="E65" s="67" t="str">
        <f>'Master Score'!G63</f>
        <v/>
      </c>
      <c r="F65" s="126">
        <v>1</v>
      </c>
      <c r="G65" s="125" t="str">
        <f t="shared" si="0"/>
        <v/>
      </c>
      <c r="H65" s="126">
        <v>1</v>
      </c>
      <c r="I65" s="125" t="str">
        <f t="shared" ref="I65" si="66">IF($E65="","",IF(H65=$E65,1,0))</f>
        <v/>
      </c>
      <c r="J65" s="126">
        <v>1</v>
      </c>
      <c r="K65" s="125" t="str">
        <f t="shared" si="12"/>
        <v/>
      </c>
      <c r="L65" s="126">
        <v>1</v>
      </c>
      <c r="M65" s="125" t="str">
        <f t="shared" si="9"/>
        <v/>
      </c>
      <c r="N65" s="117">
        <v>1</v>
      </c>
      <c r="O65" t="str">
        <f t="shared" si="10"/>
        <v/>
      </c>
      <c r="Q65" t="s">
        <v>53</v>
      </c>
    </row>
    <row r="66" spans="1:17" x14ac:dyDescent="0.25">
      <c r="A66" s="26">
        <v>46200</v>
      </c>
      <c r="B66" s="39" t="s">
        <v>36</v>
      </c>
      <c r="C66" s="28" t="s">
        <v>40</v>
      </c>
      <c r="D66" s="28" t="s">
        <v>37</v>
      </c>
      <c r="E66" s="60" t="str">
        <f>'Master Score'!G64</f>
        <v/>
      </c>
      <c r="F66" s="126">
        <v>2</v>
      </c>
      <c r="G66" s="125" t="str">
        <f t="shared" si="0"/>
        <v/>
      </c>
      <c r="H66" s="126">
        <v>2</v>
      </c>
      <c r="I66" s="125" t="str">
        <f t="shared" ref="I66" si="67">IF($E66="","",IF(H66=$E66,1,0))</f>
        <v/>
      </c>
      <c r="J66" s="126">
        <v>2</v>
      </c>
      <c r="K66" s="125" t="str">
        <f t="shared" si="12"/>
        <v/>
      </c>
      <c r="L66" s="126">
        <v>2</v>
      </c>
      <c r="M66" s="125" t="str">
        <f t="shared" si="9"/>
        <v/>
      </c>
      <c r="N66" s="117">
        <v>2</v>
      </c>
      <c r="O66" t="str">
        <f t="shared" si="10"/>
        <v/>
      </c>
      <c r="Q66" t="s">
        <v>52</v>
      </c>
    </row>
    <row r="67" spans="1:17" x14ac:dyDescent="0.25">
      <c r="A67" s="26">
        <v>46200</v>
      </c>
      <c r="B67" s="39" t="s">
        <v>36</v>
      </c>
      <c r="C67" s="28" t="s">
        <v>38</v>
      </c>
      <c r="D67" s="28" t="s">
        <v>39</v>
      </c>
      <c r="E67" s="60" t="str">
        <f>'Master Score'!G65</f>
        <v/>
      </c>
      <c r="F67" s="126" t="s">
        <v>94</v>
      </c>
      <c r="G67" s="125" t="str">
        <f t="shared" si="0"/>
        <v/>
      </c>
      <c r="H67" s="126" t="s">
        <v>94</v>
      </c>
      <c r="I67" s="125" t="str">
        <f t="shared" ref="I67" si="68">IF($E67="","",IF(H67=$E67,1,0))</f>
        <v/>
      </c>
      <c r="J67" s="126" t="s">
        <v>94</v>
      </c>
      <c r="K67" s="125" t="str">
        <f t="shared" si="12"/>
        <v/>
      </c>
      <c r="L67" s="126" t="s">
        <v>94</v>
      </c>
      <c r="M67" s="125" t="str">
        <f t="shared" si="9"/>
        <v/>
      </c>
      <c r="N67" s="117">
        <v>2</v>
      </c>
      <c r="O67" t="str">
        <f t="shared" si="10"/>
        <v/>
      </c>
      <c r="Q67" t="s">
        <v>54</v>
      </c>
    </row>
    <row r="68" spans="1:17" x14ac:dyDescent="0.25">
      <c r="A68" s="26">
        <v>46200</v>
      </c>
      <c r="B68" s="40" t="s">
        <v>41</v>
      </c>
      <c r="C68" s="28" t="s">
        <v>45</v>
      </c>
      <c r="D68" s="28" t="s">
        <v>42</v>
      </c>
      <c r="E68" s="60" t="str">
        <f>'Master Score'!G66</f>
        <v/>
      </c>
      <c r="F68" s="126">
        <v>2</v>
      </c>
      <c r="G68" s="125" t="str">
        <f t="shared" si="0"/>
        <v/>
      </c>
      <c r="H68" s="126">
        <v>2</v>
      </c>
      <c r="I68" s="125" t="str">
        <f t="shared" ref="I68" si="69">IF($E68="","",IF(H68=$E68,1,0))</f>
        <v/>
      </c>
      <c r="J68" s="126">
        <v>2</v>
      </c>
      <c r="K68" s="125" t="str">
        <f t="shared" si="12"/>
        <v/>
      </c>
      <c r="L68" s="126">
        <v>2</v>
      </c>
      <c r="M68" s="125" t="str">
        <f t="shared" si="9"/>
        <v/>
      </c>
      <c r="N68" s="117">
        <v>2</v>
      </c>
      <c r="O68" t="str">
        <f t="shared" si="10"/>
        <v/>
      </c>
      <c r="Q68" t="s">
        <v>55</v>
      </c>
    </row>
    <row r="69" spans="1:17" x14ac:dyDescent="0.25">
      <c r="A69" s="26">
        <v>46200</v>
      </c>
      <c r="B69" s="40" t="s">
        <v>41</v>
      </c>
      <c r="C69" s="28" t="s">
        <v>43</v>
      </c>
      <c r="D69" s="28" t="s">
        <v>44</v>
      </c>
      <c r="E69" s="60" t="str">
        <f>'Master Score'!G67</f>
        <v/>
      </c>
      <c r="F69" s="126">
        <v>2</v>
      </c>
      <c r="G69" s="125" t="str">
        <f t="shared" ref="G69:G75" si="70">IF($E69="","",IF(F69=$E69,1,0))</f>
        <v/>
      </c>
      <c r="H69" s="126">
        <v>2</v>
      </c>
      <c r="I69" s="125" t="str">
        <f t="shared" ref="I69" si="71">IF($E69="","",IF(H69=$E69,1,0))</f>
        <v/>
      </c>
      <c r="J69" s="126" t="s">
        <v>94</v>
      </c>
      <c r="K69" s="125" t="str">
        <f t="shared" si="12"/>
        <v/>
      </c>
      <c r="L69" s="126">
        <v>2</v>
      </c>
      <c r="M69" s="125" t="str">
        <f t="shared" si="9"/>
        <v/>
      </c>
      <c r="N69" s="117">
        <v>2</v>
      </c>
      <c r="O69" t="str">
        <f t="shared" si="10"/>
        <v/>
      </c>
      <c r="Q69" t="s">
        <v>60</v>
      </c>
    </row>
    <row r="70" spans="1:17" x14ac:dyDescent="0.25">
      <c r="A70" s="26">
        <v>46200</v>
      </c>
      <c r="B70" s="47" t="s">
        <v>61</v>
      </c>
      <c r="C70" s="28" t="s">
        <v>65</v>
      </c>
      <c r="D70" s="28" t="s">
        <v>62</v>
      </c>
      <c r="E70" s="60" t="str">
        <f>'Master Score'!G68</f>
        <v/>
      </c>
      <c r="F70" s="126">
        <v>2</v>
      </c>
      <c r="G70" s="125" t="str">
        <f t="shared" si="70"/>
        <v/>
      </c>
      <c r="H70" s="126">
        <v>2</v>
      </c>
      <c r="I70" s="125" t="str">
        <f t="shared" ref="I70" si="72">IF($E70="","",IF(H70=$E70,1,0))</f>
        <v/>
      </c>
      <c r="J70" s="126">
        <v>2</v>
      </c>
      <c r="K70" s="125" t="str">
        <f t="shared" si="12"/>
        <v/>
      </c>
      <c r="L70" s="126">
        <v>2</v>
      </c>
      <c r="M70" s="125" t="str">
        <f t="shared" si="9"/>
        <v/>
      </c>
      <c r="N70" s="117">
        <v>2</v>
      </c>
      <c r="O70" t="str">
        <f t="shared" si="10"/>
        <v/>
      </c>
      <c r="Q70" t="s">
        <v>58</v>
      </c>
    </row>
    <row r="71" spans="1:17" x14ac:dyDescent="0.25">
      <c r="A71" s="29">
        <v>46200</v>
      </c>
      <c r="B71" s="46" t="s">
        <v>61</v>
      </c>
      <c r="C71" s="31" t="s">
        <v>63</v>
      </c>
      <c r="D71" s="31" t="s">
        <v>64</v>
      </c>
      <c r="E71" s="67" t="str">
        <f>'Master Score'!G69</f>
        <v/>
      </c>
      <c r="F71" s="126">
        <v>1</v>
      </c>
      <c r="G71" s="125" t="str">
        <f t="shared" si="70"/>
        <v/>
      </c>
      <c r="H71" s="126">
        <v>1</v>
      </c>
      <c r="I71" s="125" t="str">
        <f t="shared" ref="I71" si="73">IF($E71="","",IF(H71=$E71,1,0))</f>
        <v/>
      </c>
      <c r="J71" s="126" t="s">
        <v>94</v>
      </c>
      <c r="K71" s="125" t="str">
        <f t="shared" si="12"/>
        <v/>
      </c>
      <c r="L71" s="126">
        <v>1</v>
      </c>
      <c r="M71" s="125" t="str">
        <f t="shared" si="9"/>
        <v/>
      </c>
      <c r="N71" s="117" t="s">
        <v>94</v>
      </c>
      <c r="O71" t="str">
        <f t="shared" si="10"/>
        <v/>
      </c>
      <c r="Q71" t="s">
        <v>57</v>
      </c>
    </row>
    <row r="72" spans="1:17" x14ac:dyDescent="0.25">
      <c r="A72" s="26">
        <v>46201</v>
      </c>
      <c r="B72" s="44" t="s">
        <v>51</v>
      </c>
      <c r="C72" s="28" t="s">
        <v>55</v>
      </c>
      <c r="D72" s="28" t="s">
        <v>52</v>
      </c>
      <c r="E72" s="60" t="str">
        <f>'Master Score'!G70</f>
        <v/>
      </c>
      <c r="F72" s="126">
        <v>2</v>
      </c>
      <c r="G72" s="125" t="str">
        <f t="shared" si="70"/>
        <v/>
      </c>
      <c r="H72" s="126">
        <v>2</v>
      </c>
      <c r="I72" s="125" t="str">
        <f t="shared" ref="I72" si="74">IF($E72="","",IF(H72=$E72,1,0))</f>
        <v/>
      </c>
      <c r="J72" s="126">
        <v>2</v>
      </c>
      <c r="K72" s="125" t="str">
        <f t="shared" si="12"/>
        <v/>
      </c>
      <c r="L72" s="126">
        <v>2</v>
      </c>
      <c r="M72" s="125" t="str">
        <f t="shared" si="9"/>
        <v/>
      </c>
      <c r="N72" s="117">
        <v>2</v>
      </c>
      <c r="O72" t="str">
        <f t="shared" si="10"/>
        <v/>
      </c>
      <c r="Q72" t="s">
        <v>59</v>
      </c>
    </row>
    <row r="73" spans="1:17" x14ac:dyDescent="0.25">
      <c r="A73" s="26">
        <v>46201</v>
      </c>
      <c r="B73" s="44" t="s">
        <v>51</v>
      </c>
      <c r="C73" s="28" t="s">
        <v>53</v>
      </c>
      <c r="D73" s="28" t="s">
        <v>54</v>
      </c>
      <c r="E73" s="60" t="str">
        <f>'Master Score'!G71</f>
        <v/>
      </c>
      <c r="F73" s="126" t="s">
        <v>94</v>
      </c>
      <c r="G73" s="125" t="str">
        <f t="shared" si="70"/>
        <v/>
      </c>
      <c r="H73" s="126">
        <v>1</v>
      </c>
      <c r="I73" s="125" t="str">
        <f t="shared" ref="I73" si="75">IF($E73="","",IF(H73=$E73,1,0))</f>
        <v/>
      </c>
      <c r="J73" s="126">
        <v>1</v>
      </c>
      <c r="K73" s="125" t="str">
        <f t="shared" si="12"/>
        <v/>
      </c>
      <c r="L73" s="126" t="s">
        <v>94</v>
      </c>
      <c r="M73" s="125" t="str">
        <f t="shared" si="9"/>
        <v/>
      </c>
      <c r="N73" s="117">
        <v>2</v>
      </c>
      <c r="O73" t="str">
        <f t="shared" si="10"/>
        <v/>
      </c>
      <c r="Q73" t="s">
        <v>63</v>
      </c>
    </row>
    <row r="74" spans="1:17" x14ac:dyDescent="0.25">
      <c r="A74" s="26">
        <v>46201</v>
      </c>
      <c r="B74" s="45" t="s">
        <v>56</v>
      </c>
      <c r="C74" s="28" t="s">
        <v>60</v>
      </c>
      <c r="D74" s="28" t="s">
        <v>57</v>
      </c>
      <c r="E74" s="60" t="str">
        <f>'Master Score'!G72</f>
        <v/>
      </c>
      <c r="F74" s="126">
        <v>2</v>
      </c>
      <c r="G74" s="125" t="str">
        <f t="shared" si="70"/>
        <v/>
      </c>
      <c r="H74" s="126" t="s">
        <v>94</v>
      </c>
      <c r="I74" s="125" t="str">
        <f t="shared" ref="I74" si="76">IF($E74="","",IF(H74=$E74,1,0))</f>
        <v/>
      </c>
      <c r="J74" s="126">
        <v>2</v>
      </c>
      <c r="K74" s="125" t="str">
        <f t="shared" ref="K74:K75" si="77">IF($E74="","",IF(J74=$E74,1,0))</f>
        <v/>
      </c>
      <c r="L74" s="126">
        <v>2</v>
      </c>
      <c r="M74" s="125" t="str">
        <f t="shared" ref="M74:M75" si="78">IF($E74="","",IF(L74=$E74,1,0))</f>
        <v/>
      </c>
      <c r="N74" s="117">
        <v>2</v>
      </c>
      <c r="O74" t="str">
        <f t="shared" ref="O74:O75" si="79">IF($E74="","",IF(N74=$E74,1,0))</f>
        <v/>
      </c>
      <c r="Q74" t="s">
        <v>62</v>
      </c>
    </row>
    <row r="75" spans="1:17" x14ac:dyDescent="0.25">
      <c r="A75" s="29">
        <v>46201</v>
      </c>
      <c r="B75" s="51" t="s">
        <v>56</v>
      </c>
      <c r="C75" s="31" t="s">
        <v>58</v>
      </c>
      <c r="D75" s="31" t="s">
        <v>59</v>
      </c>
      <c r="E75" s="67" t="str">
        <f>'Master Score'!G73</f>
        <v/>
      </c>
      <c r="F75" s="126">
        <v>1</v>
      </c>
      <c r="G75" s="127" t="str">
        <f t="shared" si="70"/>
        <v/>
      </c>
      <c r="H75" s="126">
        <v>1</v>
      </c>
      <c r="I75" s="127" t="str">
        <f t="shared" ref="I75" si="80">IF($E75="","",IF(H75=$E75,1,0))</f>
        <v/>
      </c>
      <c r="J75" s="126" t="s">
        <v>94</v>
      </c>
      <c r="K75" s="127" t="str">
        <f t="shared" si="77"/>
        <v/>
      </c>
      <c r="L75" s="126">
        <v>1</v>
      </c>
      <c r="M75" s="127" t="str">
        <f t="shared" si="78"/>
        <v/>
      </c>
      <c r="N75" s="117">
        <v>1</v>
      </c>
      <c r="O75" s="2" t="str">
        <f t="shared" si="79"/>
        <v/>
      </c>
      <c r="Q75" t="s">
        <v>64</v>
      </c>
    </row>
    <row r="76" spans="1:17" x14ac:dyDescent="0.25">
      <c r="F76" s="128"/>
      <c r="G76" s="125"/>
      <c r="H76" s="128"/>
      <c r="I76" s="125"/>
      <c r="J76" s="128"/>
      <c r="K76" s="125"/>
      <c r="L76" s="128"/>
      <c r="M76" s="125"/>
      <c r="Q76" t="s">
        <v>65</v>
      </c>
    </row>
    <row r="77" spans="1:17" ht="15.75" thickBot="1" x14ac:dyDescent="0.3">
      <c r="A77" s="64" t="s">
        <v>103</v>
      </c>
      <c r="B77" s="64"/>
      <c r="C77" s="64"/>
      <c r="D77" s="64"/>
      <c r="E77" s="66"/>
      <c r="F77" s="129"/>
      <c r="G77" s="71" t="s">
        <v>73</v>
      </c>
      <c r="H77" s="129"/>
      <c r="I77" s="71" t="s">
        <v>73</v>
      </c>
      <c r="J77" s="129"/>
      <c r="K77" s="71" t="s">
        <v>73</v>
      </c>
      <c r="L77" s="129"/>
      <c r="M77" s="71" t="s">
        <v>73</v>
      </c>
      <c r="N77" s="64"/>
      <c r="O77" s="64" t="s">
        <v>73</v>
      </c>
    </row>
    <row r="78" spans="1:17" x14ac:dyDescent="0.25">
      <c r="A78" s="135"/>
      <c r="B78" s="136"/>
      <c r="C78" s="68" t="s">
        <v>6</v>
      </c>
      <c r="D78" t="s">
        <v>70</v>
      </c>
      <c r="E78" t="str" cm="1">
        <f t="array" ref="E78:E81">'Master Score'!J2:J5</f>
        <v>Mexico</v>
      </c>
      <c r="F78" s="130" t="s">
        <v>7</v>
      </c>
      <c r="G78" s="125">
        <f>IF(F78='Master Score'!$J$2,1,0)</f>
        <v>1</v>
      </c>
      <c r="H78" s="131" t="s">
        <v>7</v>
      </c>
      <c r="I78" s="125">
        <f>IF(H78='Master Score'!$J$2,1,0)</f>
        <v>1</v>
      </c>
      <c r="J78" s="130" t="s">
        <v>7</v>
      </c>
      <c r="K78" s="125">
        <f>IF(J78='Master Score'!$J$2,1,0)</f>
        <v>1</v>
      </c>
      <c r="L78" s="130" t="s">
        <v>7</v>
      </c>
      <c r="M78" s="125">
        <f>IF(L78='Master Score'!$J$2,1,0)</f>
        <v>1</v>
      </c>
      <c r="N78" s="131" t="s">
        <v>7</v>
      </c>
      <c r="O78">
        <f>IF(N78='Master Score'!$J$2,1,0)</f>
        <v>1</v>
      </c>
    </row>
    <row r="79" spans="1:17" x14ac:dyDescent="0.25">
      <c r="A79" s="135"/>
      <c r="B79" s="136"/>
      <c r="C79" s="69" t="s">
        <v>6</v>
      </c>
      <c r="D79" t="s">
        <v>71</v>
      </c>
      <c r="E79" t="str">
        <v>South Korea</v>
      </c>
      <c r="F79" s="131" t="s">
        <v>9</v>
      </c>
      <c r="G79" s="125">
        <f>IF(F79='Master Score'!$J$3,1,0)</f>
        <v>1</v>
      </c>
      <c r="H79" s="131" t="s">
        <v>10</v>
      </c>
      <c r="I79" s="125">
        <f>IF(H79='Master Score'!$J$3,1,0)</f>
        <v>0</v>
      </c>
      <c r="J79" s="131" t="s">
        <v>9</v>
      </c>
      <c r="K79" s="125">
        <f>IF(J79='Master Score'!$J$3,1,0)</f>
        <v>1</v>
      </c>
      <c r="L79" s="131" t="s">
        <v>9</v>
      </c>
      <c r="M79" s="125">
        <f>IF(L79='Master Score'!$J$3,1,0)</f>
        <v>1</v>
      </c>
      <c r="N79" s="131" t="s">
        <v>9</v>
      </c>
      <c r="O79">
        <f>IF(N79='Master Score'!$J$3,1,0)</f>
        <v>1</v>
      </c>
    </row>
    <row r="80" spans="1:17" x14ac:dyDescent="0.25">
      <c r="A80" s="135"/>
      <c r="B80" s="136"/>
      <c r="C80" s="69" t="s">
        <v>6</v>
      </c>
      <c r="D80" t="s">
        <v>67</v>
      </c>
      <c r="E80" t="str">
        <v>Czechia</v>
      </c>
      <c r="F80" s="131" t="s">
        <v>8</v>
      </c>
      <c r="G80" s="125">
        <f>IF(F80='Master Score'!$J$4,1,0)</f>
        <v>0</v>
      </c>
      <c r="H80" s="131" t="s">
        <v>9</v>
      </c>
      <c r="I80" s="125">
        <f>IF(H80='Master Score'!$J$4,1,0)</f>
        <v>0</v>
      </c>
      <c r="J80" s="131" t="s">
        <v>10</v>
      </c>
      <c r="K80" s="125">
        <f>IF(J80='Master Score'!$J$4,1,0)</f>
        <v>1</v>
      </c>
      <c r="L80" s="131" t="s">
        <v>9</v>
      </c>
      <c r="M80" s="125">
        <f>IF(L80='Master Score'!$J$4,1,0)</f>
        <v>0</v>
      </c>
      <c r="N80" s="131" t="s">
        <v>10</v>
      </c>
      <c r="O80">
        <f>IF(N80='Master Score'!$J$4,1,0)</f>
        <v>1</v>
      </c>
    </row>
    <row r="81" spans="1:15" ht="15.75" thickBot="1" x14ac:dyDescent="0.3">
      <c r="A81" s="135"/>
      <c r="B81" s="136"/>
      <c r="C81" s="70" t="s">
        <v>6</v>
      </c>
      <c r="D81" s="64" t="s">
        <v>68</v>
      </c>
      <c r="E81" s="64" t="str">
        <v>South Africa</v>
      </c>
      <c r="F81" s="132" t="s">
        <v>10</v>
      </c>
      <c r="G81" s="71">
        <f>IF(F81='Master Score'!$J$5,1,0)</f>
        <v>0</v>
      </c>
      <c r="H81" s="132" t="s">
        <v>8</v>
      </c>
      <c r="I81" s="71">
        <f>IF(H81='Master Score'!$J$5,1,0)</f>
        <v>1</v>
      </c>
      <c r="J81" s="132" t="s">
        <v>8</v>
      </c>
      <c r="K81" s="71">
        <f>IF(J81='Master Score'!$J$5,1,0)</f>
        <v>1</v>
      </c>
      <c r="L81" s="132" t="s">
        <v>8</v>
      </c>
      <c r="M81" s="71">
        <f>IF(L81='Master Score'!$J$5,1,0)</f>
        <v>1</v>
      </c>
      <c r="N81" s="132" t="s">
        <v>8</v>
      </c>
      <c r="O81" s="64">
        <f>IF(N81='Master Score'!$J$5,1,0)</f>
        <v>1</v>
      </c>
    </row>
    <row r="82" spans="1:15" x14ac:dyDescent="0.25">
      <c r="A82" s="137"/>
      <c r="B82" s="138"/>
      <c r="C82" s="69" t="s">
        <v>11</v>
      </c>
      <c r="D82" t="s">
        <v>70</v>
      </c>
      <c r="E82" t="str" cm="1">
        <f t="array" ref="E82:E85">'Master Score'!K2:K5</f>
        <v>Bosnia and Herzegovina</v>
      </c>
      <c r="F82" s="131" t="s">
        <v>15</v>
      </c>
      <c r="G82" s="125">
        <f>IF(F82='Master Score'!$K$2,1,0)</f>
        <v>0</v>
      </c>
      <c r="H82" s="131" t="s">
        <v>15</v>
      </c>
      <c r="I82" s="125">
        <f>IF(H82='Master Score'!$K$2,1,0)</f>
        <v>0</v>
      </c>
      <c r="J82" s="131" t="s">
        <v>15</v>
      </c>
      <c r="K82" s="125">
        <f>IF(J82='Master Score'!$K$2,1,0)</f>
        <v>0</v>
      </c>
      <c r="L82" s="131" t="s">
        <v>15</v>
      </c>
      <c r="M82" s="125">
        <f>IF(L82='Master Score'!$K$2,1,0)</f>
        <v>0</v>
      </c>
      <c r="N82" s="131" t="s">
        <v>15</v>
      </c>
      <c r="O82">
        <f>IF(N82='Master Score'!$K$2,1,0)</f>
        <v>0</v>
      </c>
    </row>
    <row r="83" spans="1:15" x14ac:dyDescent="0.25">
      <c r="A83" s="137"/>
      <c r="B83" s="138"/>
      <c r="C83" s="69" t="s">
        <v>11</v>
      </c>
      <c r="D83" t="s">
        <v>71</v>
      </c>
      <c r="E83" t="str">
        <v>Canada</v>
      </c>
      <c r="F83" s="131" t="s">
        <v>12</v>
      </c>
      <c r="G83" s="125">
        <f>IF(F83='Master Score'!$K$3,1,0)</f>
        <v>1</v>
      </c>
      <c r="H83" s="131" t="s">
        <v>12</v>
      </c>
      <c r="I83" s="125">
        <f>IF(H83='Master Score'!$K$3,1,0)</f>
        <v>1</v>
      </c>
      <c r="J83" s="131" t="s">
        <v>95</v>
      </c>
      <c r="K83" s="125">
        <f>IF(J83='Master Score'!$K$3,1,0)</f>
        <v>0</v>
      </c>
      <c r="L83" s="131" t="s">
        <v>12</v>
      </c>
      <c r="M83" s="125">
        <f>IF(L83='Master Score'!$K$3,1,0)</f>
        <v>1</v>
      </c>
      <c r="N83" s="131" t="s">
        <v>12</v>
      </c>
      <c r="O83">
        <f>IF(N83='Master Score'!$K$3,1,0)</f>
        <v>1</v>
      </c>
    </row>
    <row r="84" spans="1:15" x14ac:dyDescent="0.25">
      <c r="A84" s="137"/>
      <c r="B84" s="138"/>
      <c r="C84" s="69" t="s">
        <v>11</v>
      </c>
      <c r="D84" t="s">
        <v>67</v>
      </c>
      <c r="E84" t="str">
        <v>Qatar</v>
      </c>
      <c r="F84" s="131" t="s">
        <v>95</v>
      </c>
      <c r="G84" s="125">
        <f>IF(F84='Master Score'!$K$4,1,0)</f>
        <v>0</v>
      </c>
      <c r="H84" s="131" t="s">
        <v>95</v>
      </c>
      <c r="I84" s="125">
        <f>IF(H84='Master Score'!$K$4,1,0)</f>
        <v>0</v>
      </c>
      <c r="J84" s="131" t="s">
        <v>12</v>
      </c>
      <c r="K84" s="125">
        <f>IF(J84='Master Score'!$K$4,1,0)</f>
        <v>0</v>
      </c>
      <c r="L84" s="131" t="s">
        <v>12</v>
      </c>
      <c r="M84" s="125">
        <f>IF(L84='Master Score'!$K$4,1,0)</f>
        <v>0</v>
      </c>
      <c r="N84" s="131" t="s">
        <v>95</v>
      </c>
      <c r="O84">
        <f>IF(N84='Master Score'!$K$4,1,0)</f>
        <v>0</v>
      </c>
    </row>
    <row r="85" spans="1:15" ht="15.75" thickBot="1" x14ac:dyDescent="0.3">
      <c r="A85" s="137"/>
      <c r="B85" s="138"/>
      <c r="C85" s="70" t="s">
        <v>11</v>
      </c>
      <c r="D85" s="64" t="s">
        <v>68</v>
      </c>
      <c r="E85" s="64" t="str">
        <v>Switzerland</v>
      </c>
      <c r="F85" s="132" t="s">
        <v>14</v>
      </c>
      <c r="G85" s="71">
        <f>IF(F85='Master Score'!$K$5,1,0)</f>
        <v>0</v>
      </c>
      <c r="H85" s="132" t="s">
        <v>14</v>
      </c>
      <c r="I85" s="71">
        <f>IF(H85='Master Score'!$K$5,1,0)</f>
        <v>0</v>
      </c>
      <c r="J85" s="132" t="s">
        <v>14</v>
      </c>
      <c r="K85" s="71">
        <f>IF(J85='Master Score'!$K$5,1,0)</f>
        <v>0</v>
      </c>
      <c r="L85" s="132" t="s">
        <v>14</v>
      </c>
      <c r="M85" s="71">
        <f>IF(L85='Master Score'!$K$5,1,0)</f>
        <v>0</v>
      </c>
      <c r="N85" s="132" t="s">
        <v>14</v>
      </c>
      <c r="O85" s="64">
        <f>IF(N85='Master Score'!$K$5,1,0)</f>
        <v>0</v>
      </c>
    </row>
    <row r="86" spans="1:15" x14ac:dyDescent="0.25">
      <c r="A86" s="139"/>
      <c r="B86" s="140"/>
      <c r="C86" s="69" t="s">
        <v>16</v>
      </c>
      <c r="D86" t="s">
        <v>70</v>
      </c>
      <c r="E86" t="str" cm="1">
        <f t="array" ref="E86:E89">'Master Score'!L2:L5</f>
        <v>Brazil</v>
      </c>
      <c r="F86" s="131" t="s">
        <v>17</v>
      </c>
      <c r="G86" s="125">
        <f>IF(F86='Master Score'!$L$2,1,0)</f>
        <v>1</v>
      </c>
      <c r="H86" s="131" t="s">
        <v>18</v>
      </c>
      <c r="I86" s="125">
        <f>IF(H86='Master Score'!$L$2,1,0)</f>
        <v>0</v>
      </c>
      <c r="J86" s="131" t="s">
        <v>17</v>
      </c>
      <c r="K86" s="125">
        <f>IF(J86='Master Score'!$L$2,1,0)</f>
        <v>1</v>
      </c>
      <c r="L86" s="131" t="s">
        <v>17</v>
      </c>
      <c r="M86" s="125">
        <f>IF(L86='Master Score'!$L$2,1,0)</f>
        <v>1</v>
      </c>
      <c r="N86" s="131" t="s">
        <v>18</v>
      </c>
      <c r="O86">
        <f>IF(N86='Master Score'!$L$2,1,0)</f>
        <v>0</v>
      </c>
    </row>
    <row r="87" spans="1:15" x14ac:dyDescent="0.25">
      <c r="A87" s="139"/>
      <c r="B87" s="140"/>
      <c r="C87" s="69" t="s">
        <v>16</v>
      </c>
      <c r="D87" t="s">
        <v>71</v>
      </c>
      <c r="E87" t="str">
        <v>Haiti</v>
      </c>
      <c r="F87" s="131" t="s">
        <v>20</v>
      </c>
      <c r="G87" s="125">
        <f>IF(F87='Master Score'!$L$3,1,0)</f>
        <v>0</v>
      </c>
      <c r="H87" s="131" t="s">
        <v>17</v>
      </c>
      <c r="I87" s="125">
        <f>IF(H87='Master Score'!$L$3,1,0)</f>
        <v>0</v>
      </c>
      <c r="J87" s="131" t="s">
        <v>18</v>
      </c>
      <c r="K87" s="125">
        <f>IF(J87='Master Score'!$L$3,1,0)</f>
        <v>0</v>
      </c>
      <c r="L87" s="131" t="s">
        <v>18</v>
      </c>
      <c r="M87" s="125">
        <f>IF(L87='Master Score'!$L$3,1,0)</f>
        <v>0</v>
      </c>
      <c r="N87" s="131" t="s">
        <v>17</v>
      </c>
      <c r="O87">
        <f>IF(N87='Master Score'!$L$3,1,0)</f>
        <v>0</v>
      </c>
    </row>
    <row r="88" spans="1:15" x14ac:dyDescent="0.25">
      <c r="A88" s="139"/>
      <c r="B88" s="140"/>
      <c r="C88" s="69" t="s">
        <v>16</v>
      </c>
      <c r="D88" t="s">
        <v>67</v>
      </c>
      <c r="E88" t="str">
        <v>Morocco</v>
      </c>
      <c r="F88" s="131" t="s">
        <v>18</v>
      </c>
      <c r="G88" s="125">
        <f>IF(F88='Master Score'!$L$4,1,0)</f>
        <v>1</v>
      </c>
      <c r="H88" s="131" t="s">
        <v>20</v>
      </c>
      <c r="I88" s="125">
        <f>IF(H88='Master Score'!$L$4,1,0)</f>
        <v>0</v>
      </c>
      <c r="J88" s="131" t="s">
        <v>20</v>
      </c>
      <c r="K88" s="125">
        <f>IF(J88='Master Score'!$L$4,1,0)</f>
        <v>0</v>
      </c>
      <c r="L88" s="131" t="s">
        <v>20</v>
      </c>
      <c r="M88" s="125">
        <f>IF(L88='Master Score'!$L$4,1,0)</f>
        <v>0</v>
      </c>
      <c r="N88" s="131" t="s">
        <v>20</v>
      </c>
      <c r="O88">
        <f>IF(N88='Master Score'!$L$4,1,0)</f>
        <v>0</v>
      </c>
    </row>
    <row r="89" spans="1:15" ht="15.75" thickBot="1" x14ac:dyDescent="0.3">
      <c r="A89" s="139"/>
      <c r="B89" s="140"/>
      <c r="C89" s="70" t="s">
        <v>16</v>
      </c>
      <c r="D89" s="64" t="s">
        <v>68</v>
      </c>
      <c r="E89" s="64" t="str">
        <v>Scotland</v>
      </c>
      <c r="F89" s="132" t="s">
        <v>19</v>
      </c>
      <c r="G89" s="71">
        <f>IF(F89='Master Score'!$L$5,1,0)</f>
        <v>0</v>
      </c>
      <c r="H89" s="132" t="s">
        <v>19</v>
      </c>
      <c r="I89" s="71">
        <f>IF(H89='Master Score'!$L$5,1,0)</f>
        <v>0</v>
      </c>
      <c r="J89" s="132" t="s">
        <v>19</v>
      </c>
      <c r="K89" s="71">
        <f>IF(J89='Master Score'!$L$5,1,0)</f>
        <v>0</v>
      </c>
      <c r="L89" s="132" t="s">
        <v>19</v>
      </c>
      <c r="M89" s="71">
        <f>IF(L89='Master Score'!$L$5,1,0)</f>
        <v>0</v>
      </c>
      <c r="N89" s="132" t="s">
        <v>19</v>
      </c>
      <c r="O89" s="64">
        <f>IF(N89='Master Score'!$L$5,1,0)</f>
        <v>0</v>
      </c>
    </row>
    <row r="90" spans="1:15" x14ac:dyDescent="0.25">
      <c r="A90" s="141"/>
      <c r="B90" s="142"/>
      <c r="C90" s="69" t="s">
        <v>21</v>
      </c>
      <c r="D90" t="s">
        <v>70</v>
      </c>
      <c r="E90" t="str" cm="1">
        <f t="array" ref="E90:E93">'Master Score'!M2:M5</f>
        <v>Australia</v>
      </c>
      <c r="F90" s="131" t="s">
        <v>25</v>
      </c>
      <c r="G90" s="125">
        <f>IF(F90='Master Score'!$M$2,1,0)</f>
        <v>0</v>
      </c>
      <c r="H90" s="131" t="s">
        <v>25</v>
      </c>
      <c r="I90" s="125">
        <f>IF(H90='Master Score'!$M$2,1,0)</f>
        <v>0</v>
      </c>
      <c r="J90" s="131" t="s">
        <v>25</v>
      </c>
      <c r="K90" s="125">
        <f>IF(J90='Master Score'!$M$2,1,0)</f>
        <v>0</v>
      </c>
      <c r="L90" s="131" t="s">
        <v>25</v>
      </c>
      <c r="M90" s="125">
        <f>IF(L90='Master Score'!$M$2,1,0)</f>
        <v>0</v>
      </c>
      <c r="N90" s="131" t="s">
        <v>25</v>
      </c>
      <c r="O90">
        <f>IF(N90='Master Score'!$M$2,1,0)</f>
        <v>0</v>
      </c>
    </row>
    <row r="91" spans="1:15" x14ac:dyDescent="0.25">
      <c r="A91" s="141"/>
      <c r="B91" s="142"/>
      <c r="C91" s="69" t="s">
        <v>21</v>
      </c>
      <c r="D91" t="s">
        <v>71</v>
      </c>
      <c r="E91" t="str">
        <v>Paraguay</v>
      </c>
      <c r="F91" s="131" t="s">
        <v>22</v>
      </c>
      <c r="G91" s="125">
        <f>IF(F91='Master Score'!$M$3,1,0)</f>
        <v>0</v>
      </c>
      <c r="H91" s="131" t="s">
        <v>23</v>
      </c>
      <c r="I91" s="125">
        <f>IF(H91='Master Score'!$M$3,1,0)</f>
        <v>1</v>
      </c>
      <c r="J91" s="131" t="s">
        <v>22</v>
      </c>
      <c r="K91" s="125">
        <f>IF(J91='Master Score'!$M$3,1,0)</f>
        <v>0</v>
      </c>
      <c r="L91" s="131" t="s">
        <v>22</v>
      </c>
      <c r="M91" s="125">
        <f>IF(L91='Master Score'!$M$3,1,0)</f>
        <v>0</v>
      </c>
      <c r="N91" s="131" t="s">
        <v>22</v>
      </c>
      <c r="O91">
        <f>IF(N91='Master Score'!$M$3,1,0)</f>
        <v>0</v>
      </c>
    </row>
    <row r="92" spans="1:15" x14ac:dyDescent="0.25">
      <c r="A92" s="141"/>
      <c r="B92" s="142"/>
      <c r="C92" s="69" t="s">
        <v>21</v>
      </c>
      <c r="D92" t="s">
        <v>67</v>
      </c>
      <c r="E92" t="str">
        <v>Türkiye</v>
      </c>
      <c r="F92" s="131" t="s">
        <v>24</v>
      </c>
      <c r="G92" s="125">
        <f>IF(F92='Master Score'!$M$4,1,0)</f>
        <v>0</v>
      </c>
      <c r="H92" s="131" t="s">
        <v>22</v>
      </c>
      <c r="I92" s="125">
        <f>IF(H92='Master Score'!$M$4,1,0)</f>
        <v>0</v>
      </c>
      <c r="J92" s="131" t="s">
        <v>23</v>
      </c>
      <c r="K92" s="125">
        <f>IF(J92='Master Score'!$M$4,1,0)</f>
        <v>0</v>
      </c>
      <c r="L92" s="131" t="s">
        <v>23</v>
      </c>
      <c r="M92" s="125">
        <f>IF(L92='Master Score'!$M$4,1,0)</f>
        <v>0</v>
      </c>
      <c r="N92" s="131" t="s">
        <v>23</v>
      </c>
      <c r="O92">
        <f>IF(N92='Master Score'!$M$4,1,0)</f>
        <v>0</v>
      </c>
    </row>
    <row r="93" spans="1:15" ht="15.75" thickBot="1" x14ac:dyDescent="0.3">
      <c r="A93" s="141"/>
      <c r="B93" s="142"/>
      <c r="C93" s="70" t="s">
        <v>21</v>
      </c>
      <c r="D93" s="64" t="s">
        <v>68</v>
      </c>
      <c r="E93" s="64" t="str">
        <v>USA</v>
      </c>
      <c r="F93" s="132" t="s">
        <v>23</v>
      </c>
      <c r="G93" s="71">
        <f>IF(F93='Master Score'!$M$5,1,0)</f>
        <v>0</v>
      </c>
      <c r="H93" s="132" t="s">
        <v>24</v>
      </c>
      <c r="I93" s="71">
        <f>IF(H93='Master Score'!$M$5,1,0)</f>
        <v>0</v>
      </c>
      <c r="J93" s="132" t="s">
        <v>24</v>
      </c>
      <c r="K93" s="71">
        <f>IF(J93='Master Score'!$M$5,1,0)</f>
        <v>0</v>
      </c>
      <c r="L93" s="132" t="s">
        <v>24</v>
      </c>
      <c r="M93" s="71">
        <f>IF(L93='Master Score'!$M$5,1,0)</f>
        <v>0</v>
      </c>
      <c r="N93" s="132" t="s">
        <v>24</v>
      </c>
      <c r="O93" s="64">
        <f>IF(N93='Master Score'!$M$5,1,0)</f>
        <v>0</v>
      </c>
    </row>
    <row r="94" spans="1:15" x14ac:dyDescent="0.25">
      <c r="A94" s="143"/>
      <c r="B94" s="144"/>
      <c r="C94" s="69" t="s">
        <v>26</v>
      </c>
      <c r="D94" t="s">
        <v>70</v>
      </c>
      <c r="E94" t="str" cm="1">
        <f t="array" ref="E94:E97">'Master Score'!N2:N5</f>
        <v>Curaçao</v>
      </c>
      <c r="F94" s="131" t="s">
        <v>27</v>
      </c>
      <c r="G94" s="125">
        <f>IF(F94='Master Score'!$N$2,1,0)</f>
        <v>0</v>
      </c>
      <c r="H94" s="131" t="s">
        <v>27</v>
      </c>
      <c r="I94" s="125">
        <f>IF(H94='Master Score'!$N$2,1,0)</f>
        <v>0</v>
      </c>
      <c r="J94" s="131" t="s">
        <v>27</v>
      </c>
      <c r="K94" s="125">
        <f>IF(J94='Master Score'!$N$2,1,0)</f>
        <v>0</v>
      </c>
      <c r="L94" s="131" t="s">
        <v>27</v>
      </c>
      <c r="M94" s="125">
        <f>IF(L94='Master Score'!$N$2,1,0)</f>
        <v>0</v>
      </c>
      <c r="N94" s="131" t="s">
        <v>27</v>
      </c>
      <c r="O94">
        <f>IF(N94='Master Score'!$N$2,1,0)</f>
        <v>0</v>
      </c>
    </row>
    <row r="95" spans="1:15" x14ac:dyDescent="0.25">
      <c r="A95" s="143"/>
      <c r="B95" s="144"/>
      <c r="C95" s="69" t="s">
        <v>26</v>
      </c>
      <c r="D95" t="s">
        <v>71</v>
      </c>
      <c r="E95" t="str">
        <v>Côte d'Ivoire</v>
      </c>
      <c r="F95" s="131" t="s">
        <v>29</v>
      </c>
      <c r="G95" s="125">
        <f>IF(F95='Master Score'!$N$3,1,0)</f>
        <v>1</v>
      </c>
      <c r="H95" s="131" t="s">
        <v>30</v>
      </c>
      <c r="I95" s="125">
        <f>IF(H95='Master Score'!$N$3,1,0)</f>
        <v>0</v>
      </c>
      <c r="J95" s="131" t="s">
        <v>29</v>
      </c>
      <c r="K95" s="125">
        <f>IF(J95='Master Score'!$N$3,1,0)</f>
        <v>1</v>
      </c>
      <c r="L95" s="131" t="s">
        <v>29</v>
      </c>
      <c r="M95" s="125">
        <f>IF(L95='Master Score'!$N$3,1,0)</f>
        <v>1</v>
      </c>
      <c r="N95" s="131" t="s">
        <v>30</v>
      </c>
      <c r="O95">
        <f>IF(N95='Master Score'!$N$3,1,0)</f>
        <v>0</v>
      </c>
    </row>
    <row r="96" spans="1:15" x14ac:dyDescent="0.25">
      <c r="A96" s="143"/>
      <c r="B96" s="144"/>
      <c r="C96" s="69" t="s">
        <v>26</v>
      </c>
      <c r="D96" t="s">
        <v>67</v>
      </c>
      <c r="E96" t="str">
        <v>Ecuador</v>
      </c>
      <c r="F96" s="131" t="s">
        <v>28</v>
      </c>
      <c r="G96" s="125">
        <f>IF(F96='Master Score'!$N$4,1,0)</f>
        <v>0</v>
      </c>
      <c r="H96" s="131" t="s">
        <v>29</v>
      </c>
      <c r="I96" s="125">
        <f>IF(H96='Master Score'!$N$4,1,0)</f>
        <v>0</v>
      </c>
      <c r="J96" s="131" t="s">
        <v>30</v>
      </c>
      <c r="K96" s="125">
        <f>IF(J96='Master Score'!$N$4,1,0)</f>
        <v>1</v>
      </c>
      <c r="L96" s="131" t="s">
        <v>30</v>
      </c>
      <c r="M96" s="125">
        <f>IF(L96='Master Score'!$N$4,1,0)</f>
        <v>1</v>
      </c>
      <c r="N96" s="131" t="s">
        <v>29</v>
      </c>
      <c r="O96">
        <f>IF(N96='Master Score'!$N$4,1,0)</f>
        <v>0</v>
      </c>
    </row>
    <row r="97" spans="1:15" ht="15.75" thickBot="1" x14ac:dyDescent="0.3">
      <c r="A97" s="143"/>
      <c r="B97" s="144"/>
      <c r="C97" s="70" t="s">
        <v>26</v>
      </c>
      <c r="D97" s="64" t="s">
        <v>68</v>
      </c>
      <c r="E97" s="64" t="str">
        <v>Germany</v>
      </c>
      <c r="F97" s="132" t="s">
        <v>30</v>
      </c>
      <c r="G97" s="71">
        <f>IF(F97='Master Score'!$N$5,1,0)</f>
        <v>0</v>
      </c>
      <c r="H97" s="132" t="s">
        <v>28</v>
      </c>
      <c r="I97" s="71">
        <f>IF(H97='Master Score'!$N$5,1,0)</f>
        <v>0</v>
      </c>
      <c r="J97" s="132" t="s">
        <v>28</v>
      </c>
      <c r="K97" s="71">
        <f>IF(J97='Master Score'!$N$5,1,0)</f>
        <v>0</v>
      </c>
      <c r="L97" s="132" t="s">
        <v>28</v>
      </c>
      <c r="M97" s="71">
        <f>IF(L97='Master Score'!$N$5,1,0)</f>
        <v>0</v>
      </c>
      <c r="N97" s="132" t="s">
        <v>28</v>
      </c>
      <c r="O97" s="64">
        <f>IF(N97='Master Score'!$N$5,1,0)</f>
        <v>0</v>
      </c>
    </row>
    <row r="98" spans="1:15" x14ac:dyDescent="0.25">
      <c r="A98" s="145"/>
      <c r="B98" s="146"/>
      <c r="C98" s="69" t="s">
        <v>31</v>
      </c>
      <c r="D98" t="s">
        <v>70</v>
      </c>
      <c r="E98" t="str" cm="1">
        <f t="array" ref="E98:E101">'Master Score'!O2:O5</f>
        <v>Japan</v>
      </c>
      <c r="F98" s="131" t="s">
        <v>32</v>
      </c>
      <c r="G98" s="125">
        <f>IF(F98='Master Score'!$O$2,1,0)</f>
        <v>0</v>
      </c>
      <c r="H98" s="131" t="s">
        <v>32</v>
      </c>
      <c r="I98" s="125">
        <f>IF(H98='Master Score'!$O$2,1,0)</f>
        <v>0</v>
      </c>
      <c r="J98" s="131" t="s">
        <v>32</v>
      </c>
      <c r="K98" s="125">
        <f>IF(J98='Master Score'!$O$2,1,0)</f>
        <v>0</v>
      </c>
      <c r="L98" s="131" t="s">
        <v>32</v>
      </c>
      <c r="M98" s="125">
        <f>IF(L98='Master Score'!$O$2,1,0)</f>
        <v>0</v>
      </c>
      <c r="N98" s="131" t="s">
        <v>32</v>
      </c>
      <c r="O98">
        <f>IF(N98='Master Score'!$O$2,1,0)</f>
        <v>0</v>
      </c>
    </row>
    <row r="99" spans="1:15" x14ac:dyDescent="0.25">
      <c r="A99" s="145"/>
      <c r="B99" s="146"/>
      <c r="C99" s="69" t="s">
        <v>31</v>
      </c>
      <c r="D99" t="s">
        <v>71</v>
      </c>
      <c r="E99" t="str">
        <v>Netherlands</v>
      </c>
      <c r="F99" s="131" t="s">
        <v>33</v>
      </c>
      <c r="G99" s="125">
        <f>IF(F99='Master Score'!$O$3,1,0)</f>
        <v>0</v>
      </c>
      <c r="H99" s="131" t="s">
        <v>33</v>
      </c>
      <c r="I99" s="125">
        <f>IF(H99='Master Score'!$O$3,1,0)</f>
        <v>0</v>
      </c>
      <c r="J99" s="131" t="s">
        <v>33</v>
      </c>
      <c r="K99" s="125">
        <f>IF(J99='Master Score'!$O$3,1,0)</f>
        <v>0</v>
      </c>
      <c r="L99" s="131" t="s">
        <v>33</v>
      </c>
      <c r="M99" s="125">
        <f>IF(L99='Master Score'!$O$3,1,0)</f>
        <v>0</v>
      </c>
      <c r="N99" s="131" t="s">
        <v>33</v>
      </c>
      <c r="O99">
        <f>IF(N99='Master Score'!$O$3,1,0)</f>
        <v>0</v>
      </c>
    </row>
    <row r="100" spans="1:15" x14ac:dyDescent="0.25">
      <c r="A100" s="145"/>
      <c r="B100" s="146"/>
      <c r="C100" s="69" t="s">
        <v>31</v>
      </c>
      <c r="D100" t="s">
        <v>67</v>
      </c>
      <c r="E100" t="str">
        <v>Sweden</v>
      </c>
      <c r="F100" s="131" t="s">
        <v>34</v>
      </c>
      <c r="G100" s="125">
        <f>IF(F100='Master Score'!$O$4,1,0)</f>
        <v>1</v>
      </c>
      <c r="H100" s="131" t="s">
        <v>35</v>
      </c>
      <c r="I100" s="125">
        <f>IF(H100='Master Score'!$O$4,1,0)</f>
        <v>0</v>
      </c>
      <c r="J100" s="131" t="s">
        <v>34</v>
      </c>
      <c r="K100" s="125">
        <f>IF(J100='Master Score'!$O$4,1,0)</f>
        <v>1</v>
      </c>
      <c r="L100" s="131" t="s">
        <v>34</v>
      </c>
      <c r="M100" s="125">
        <f>IF(L100='Master Score'!$O$4,1,0)</f>
        <v>1</v>
      </c>
      <c r="N100" s="131" t="s">
        <v>35</v>
      </c>
      <c r="O100">
        <f>IF(N100='Master Score'!$O$4,1,0)</f>
        <v>0</v>
      </c>
    </row>
    <row r="101" spans="1:15" ht="15.75" thickBot="1" x14ac:dyDescent="0.3">
      <c r="A101" s="145"/>
      <c r="B101" s="146"/>
      <c r="C101" s="70" t="s">
        <v>31</v>
      </c>
      <c r="D101" s="64" t="s">
        <v>68</v>
      </c>
      <c r="E101" s="64" t="str">
        <v>Tunisia</v>
      </c>
      <c r="F101" s="132" t="s">
        <v>35</v>
      </c>
      <c r="G101" s="71">
        <f>IF(F101='Master Score'!$O$5,1,0)</f>
        <v>1</v>
      </c>
      <c r="H101" s="132" t="s">
        <v>34</v>
      </c>
      <c r="I101" s="71">
        <f>IF(H101='Master Score'!$O$5,1,0)</f>
        <v>0</v>
      </c>
      <c r="J101" s="132" t="s">
        <v>35</v>
      </c>
      <c r="K101" s="71">
        <f>IF(J101='Master Score'!$O$5,1,0)</f>
        <v>1</v>
      </c>
      <c r="L101" s="132" t="s">
        <v>35</v>
      </c>
      <c r="M101" s="71">
        <f>IF(L101='Master Score'!$O$5,1,0)</f>
        <v>1</v>
      </c>
      <c r="N101" s="132" t="s">
        <v>34</v>
      </c>
      <c r="O101" s="64">
        <f>IF(N101='Master Score'!$O$5,1,0)</f>
        <v>0</v>
      </c>
    </row>
    <row r="102" spans="1:15" x14ac:dyDescent="0.25">
      <c r="A102" s="147"/>
      <c r="B102" s="148"/>
      <c r="C102" s="69" t="s">
        <v>36</v>
      </c>
      <c r="D102" t="s">
        <v>70</v>
      </c>
      <c r="E102" t="str" cm="1">
        <f t="array" ref="E102:E105">'Master Score'!P2:P5</f>
        <v>Belgium</v>
      </c>
      <c r="F102" s="131" t="s">
        <v>37</v>
      </c>
      <c r="G102" s="125">
        <f>IF(F102='Master Score'!$P$2,1,0)</f>
        <v>1</v>
      </c>
      <c r="H102" s="131" t="s">
        <v>37</v>
      </c>
      <c r="I102" s="125">
        <f>IF(H102='Master Score'!$P$2,1,0)</f>
        <v>1</v>
      </c>
      <c r="J102" s="131" t="s">
        <v>37</v>
      </c>
      <c r="K102" s="125">
        <f>IF(J102='Master Score'!$P$2,1,0)</f>
        <v>1</v>
      </c>
      <c r="L102" s="131" t="s">
        <v>37</v>
      </c>
      <c r="M102" s="125">
        <f>IF(L102='Master Score'!$P$2,1,0)</f>
        <v>1</v>
      </c>
      <c r="N102" s="131" t="s">
        <v>37</v>
      </c>
      <c r="O102">
        <f>IF(N102='Master Score'!$P$2,1,0)</f>
        <v>1</v>
      </c>
    </row>
    <row r="103" spans="1:15" x14ac:dyDescent="0.25">
      <c r="A103" s="147"/>
      <c r="B103" s="148"/>
      <c r="C103" s="69" t="s">
        <v>36</v>
      </c>
      <c r="D103" t="s">
        <v>71</v>
      </c>
      <c r="E103" t="str">
        <v>Egypt</v>
      </c>
      <c r="F103" s="131" t="s">
        <v>39</v>
      </c>
      <c r="G103" s="125">
        <f>IF(F103='Master Score'!$P$3,1,0)</f>
        <v>0</v>
      </c>
      <c r="H103" s="131" t="s">
        <v>39</v>
      </c>
      <c r="I103" s="125">
        <f>IF(H103='Master Score'!$P$3,1,0)</f>
        <v>0</v>
      </c>
      <c r="J103" s="131" t="s">
        <v>38</v>
      </c>
      <c r="K103" s="125">
        <f>IF(J103='Master Score'!$P$3,1,0)</f>
        <v>1</v>
      </c>
      <c r="L103" s="131" t="s">
        <v>38</v>
      </c>
      <c r="M103" s="125">
        <f>IF(L103='Master Score'!$P$3,1,0)</f>
        <v>1</v>
      </c>
      <c r="N103" s="131" t="s">
        <v>39</v>
      </c>
      <c r="O103">
        <f>IF(N103='Master Score'!$P$3,1,0)</f>
        <v>0</v>
      </c>
    </row>
    <row r="104" spans="1:15" x14ac:dyDescent="0.25">
      <c r="A104" s="147"/>
      <c r="B104" s="148"/>
      <c r="C104" s="69" t="s">
        <v>36</v>
      </c>
      <c r="D104" t="s">
        <v>67</v>
      </c>
      <c r="E104" t="str">
        <v>IR Iran</v>
      </c>
      <c r="F104" s="131" t="s">
        <v>38</v>
      </c>
      <c r="G104" s="125">
        <f>IF(F104='Master Score'!$P$4,1,0)</f>
        <v>0</v>
      </c>
      <c r="H104" s="131" t="s">
        <v>38</v>
      </c>
      <c r="I104" s="125">
        <f>IF(H104='Master Score'!$P$4,1,0)</f>
        <v>0</v>
      </c>
      <c r="J104" s="131" t="s">
        <v>39</v>
      </c>
      <c r="K104" s="125">
        <f>IF(J104='Master Score'!$P$4,1,0)</f>
        <v>1</v>
      </c>
      <c r="L104" s="131" t="s">
        <v>39</v>
      </c>
      <c r="M104" s="125">
        <f>IF(L104='Master Score'!$P$4,1,0)</f>
        <v>1</v>
      </c>
      <c r="N104" s="131" t="s">
        <v>38</v>
      </c>
      <c r="O104">
        <f>IF(N104='Master Score'!$P$4,1,0)</f>
        <v>0</v>
      </c>
    </row>
    <row r="105" spans="1:15" ht="15.75" thickBot="1" x14ac:dyDescent="0.3">
      <c r="A105" s="147"/>
      <c r="B105" s="148"/>
      <c r="C105" s="70" t="s">
        <v>36</v>
      </c>
      <c r="D105" s="64" t="s">
        <v>68</v>
      </c>
      <c r="E105" s="64" t="str">
        <v>New Zealand</v>
      </c>
      <c r="F105" s="132" t="s">
        <v>40</v>
      </c>
      <c r="G105" s="71">
        <f>IF(F105='Master Score'!$P$5,1,0)</f>
        <v>1</v>
      </c>
      <c r="H105" s="132" t="s">
        <v>40</v>
      </c>
      <c r="I105" s="71">
        <f>IF(H105='Master Score'!$P$5,1,0)</f>
        <v>1</v>
      </c>
      <c r="J105" s="132" t="s">
        <v>40</v>
      </c>
      <c r="K105" s="71">
        <f>IF(J105='Master Score'!$P$5,1,0)</f>
        <v>1</v>
      </c>
      <c r="L105" s="132" t="s">
        <v>40</v>
      </c>
      <c r="M105" s="71">
        <f>IF(L105='Master Score'!$P$5,1,0)</f>
        <v>1</v>
      </c>
      <c r="N105" s="132" t="s">
        <v>40</v>
      </c>
      <c r="O105" s="64">
        <f>IF(N105='Master Score'!$P$5,1,0)</f>
        <v>1</v>
      </c>
    </row>
    <row r="106" spans="1:15" x14ac:dyDescent="0.25">
      <c r="A106" s="149"/>
      <c r="B106" s="150"/>
      <c r="C106" s="69" t="s">
        <v>41</v>
      </c>
      <c r="D106" t="s">
        <v>70</v>
      </c>
      <c r="E106" t="str" cm="1">
        <f t="array" ref="E106:E109">'Master Score'!Q2:Q5</f>
        <v>Cabo Verde</v>
      </c>
      <c r="F106" s="131" t="s">
        <v>42</v>
      </c>
      <c r="G106" s="125">
        <f>IF(F106='Master Score'!$Q$2,1,0)</f>
        <v>0</v>
      </c>
      <c r="H106" s="131" t="s">
        <v>42</v>
      </c>
      <c r="I106" s="125">
        <f>IF(H106='Master Score'!$Q$2,1,0)</f>
        <v>0</v>
      </c>
      <c r="J106" s="131" t="s">
        <v>42</v>
      </c>
      <c r="K106" s="125">
        <f>IF(J106='Master Score'!$Q$2,1,0)</f>
        <v>0</v>
      </c>
      <c r="L106" s="131" t="s">
        <v>42</v>
      </c>
      <c r="M106" s="125">
        <f>IF(L106='Master Score'!$Q$2,1,0)</f>
        <v>0</v>
      </c>
      <c r="N106" s="131" t="s">
        <v>42</v>
      </c>
      <c r="O106">
        <f>IF(N106='Master Score'!$Q$2,1,0)</f>
        <v>0</v>
      </c>
    </row>
    <row r="107" spans="1:15" x14ac:dyDescent="0.25">
      <c r="A107" s="149"/>
      <c r="B107" s="150"/>
      <c r="C107" s="69" t="s">
        <v>41</v>
      </c>
      <c r="D107" t="s">
        <v>71</v>
      </c>
      <c r="E107" t="str">
        <v>Saudi Arabia</v>
      </c>
      <c r="F107" s="131" t="s">
        <v>45</v>
      </c>
      <c r="G107" s="125">
        <f>IF(F107='Master Score'!$Q$3,1,0)</f>
        <v>0</v>
      </c>
      <c r="H107" s="131" t="s">
        <v>45</v>
      </c>
      <c r="I107" s="125">
        <f>IF(H107='Master Score'!$Q$3,1,0)</f>
        <v>0</v>
      </c>
      <c r="J107" s="131" t="s">
        <v>45</v>
      </c>
      <c r="K107" s="125">
        <f>IF(J107='Master Score'!$Q$3,1,0)</f>
        <v>0</v>
      </c>
      <c r="L107" s="131" t="s">
        <v>45</v>
      </c>
      <c r="M107" s="125">
        <f>IF(L107='Master Score'!$Q$3,1,0)</f>
        <v>0</v>
      </c>
      <c r="N107" s="131" t="s">
        <v>45</v>
      </c>
      <c r="O107">
        <f>IF(N107='Master Score'!$Q$3,1,0)</f>
        <v>0</v>
      </c>
    </row>
    <row r="108" spans="1:15" x14ac:dyDescent="0.25">
      <c r="A108" s="149"/>
      <c r="B108" s="150"/>
      <c r="C108" s="69" t="s">
        <v>41</v>
      </c>
      <c r="D108" t="s">
        <v>67</v>
      </c>
      <c r="E108" t="str">
        <v>Spain</v>
      </c>
      <c r="F108" s="131" t="s">
        <v>44</v>
      </c>
      <c r="G108" s="125">
        <f>IF(F108='Master Score'!$Q$4,1,0)</f>
        <v>0</v>
      </c>
      <c r="H108" s="131" t="s">
        <v>44</v>
      </c>
      <c r="I108" s="125">
        <f>IF(H108='Master Score'!$Q$4,1,0)</f>
        <v>0</v>
      </c>
      <c r="J108" s="131" t="s">
        <v>44</v>
      </c>
      <c r="K108" s="125">
        <f>IF(J108='Master Score'!$Q$4,1,0)</f>
        <v>0</v>
      </c>
      <c r="L108" s="131" t="s">
        <v>44</v>
      </c>
      <c r="M108" s="125">
        <f>IF(L108='Master Score'!$Q$4,1,0)</f>
        <v>0</v>
      </c>
      <c r="N108" s="131" t="s">
        <v>44</v>
      </c>
      <c r="O108">
        <f>IF(N108='Master Score'!$Q$4,1,0)</f>
        <v>0</v>
      </c>
    </row>
    <row r="109" spans="1:15" ht="15.75" thickBot="1" x14ac:dyDescent="0.3">
      <c r="A109" s="149"/>
      <c r="B109" s="150"/>
      <c r="C109" s="70" t="s">
        <v>41</v>
      </c>
      <c r="D109" s="64" t="s">
        <v>68</v>
      </c>
      <c r="E109" s="64" t="str">
        <v>Uruguay</v>
      </c>
      <c r="F109" s="132" t="s">
        <v>43</v>
      </c>
      <c r="G109" s="71">
        <f>IF(F109='Master Score'!$Q$5,1,0)</f>
        <v>0</v>
      </c>
      <c r="H109" s="132" t="s">
        <v>43</v>
      </c>
      <c r="I109" s="71">
        <f>IF(H109='Master Score'!$Q$5,1,0)</f>
        <v>0</v>
      </c>
      <c r="J109" s="132" t="s">
        <v>43</v>
      </c>
      <c r="K109" s="71">
        <f>IF(J109='Master Score'!$Q$5,1,0)</f>
        <v>0</v>
      </c>
      <c r="L109" s="132" t="s">
        <v>43</v>
      </c>
      <c r="M109" s="71">
        <f>IF(L109='Master Score'!$Q$5,1,0)</f>
        <v>0</v>
      </c>
      <c r="N109" s="132" t="s">
        <v>43</v>
      </c>
      <c r="O109" s="64">
        <f>IF(N109='Master Score'!$Q$5,1,0)</f>
        <v>0</v>
      </c>
    </row>
    <row r="110" spans="1:15" x14ac:dyDescent="0.25">
      <c r="A110" s="151"/>
      <c r="B110" s="152"/>
      <c r="C110" s="69" t="s">
        <v>46</v>
      </c>
      <c r="D110" t="s">
        <v>70</v>
      </c>
      <c r="E110" t="str" cm="1">
        <f t="array" ref="E110:E113">'Master Score'!R2:R5</f>
        <v>France</v>
      </c>
      <c r="F110" s="131" t="s">
        <v>47</v>
      </c>
      <c r="G110" s="125">
        <f>IF(F110='Master Score'!$R$2,1,0)</f>
        <v>1</v>
      </c>
      <c r="H110" s="131" t="s">
        <v>47</v>
      </c>
      <c r="I110" s="125">
        <f>IF(H110='Master Score'!$R$2,1,0)</f>
        <v>1</v>
      </c>
      <c r="J110" s="131" t="s">
        <v>47</v>
      </c>
      <c r="K110" s="125">
        <f>IF(J110='Master Score'!$R$2,1,0)</f>
        <v>1</v>
      </c>
      <c r="L110" s="131" t="s">
        <v>47</v>
      </c>
      <c r="M110" s="125">
        <f>IF(L110='Master Score'!$R$2,1,0)</f>
        <v>1</v>
      </c>
      <c r="N110" s="131" t="s">
        <v>47</v>
      </c>
      <c r="O110">
        <f>IF(N110='Master Score'!$R$2,1,0)</f>
        <v>1</v>
      </c>
    </row>
    <row r="111" spans="1:15" x14ac:dyDescent="0.25">
      <c r="A111" s="151"/>
      <c r="B111" s="152"/>
      <c r="C111" s="69" t="s">
        <v>46</v>
      </c>
      <c r="D111" t="s">
        <v>71</v>
      </c>
      <c r="E111" t="str">
        <v>Iraq</v>
      </c>
      <c r="F111" s="131" t="s">
        <v>48</v>
      </c>
      <c r="G111" s="125">
        <f>IF(F111='Master Score'!$R$3,1,0)</f>
        <v>0</v>
      </c>
      <c r="H111" s="131" t="s">
        <v>50</v>
      </c>
      <c r="I111" s="125">
        <f>IF(H111='Master Score'!$R$3,1,0)</f>
        <v>0</v>
      </c>
      <c r="J111" s="131" t="s">
        <v>48</v>
      </c>
      <c r="K111" s="125">
        <f>IF(J111='Master Score'!$R$3,1,0)</f>
        <v>0</v>
      </c>
      <c r="L111" s="131" t="s">
        <v>50</v>
      </c>
      <c r="M111" s="125">
        <f>IF(L111='Master Score'!$R$3,1,0)</f>
        <v>0</v>
      </c>
      <c r="N111" s="131" t="s">
        <v>48</v>
      </c>
      <c r="O111">
        <f>IF(N111='Master Score'!$R$3,1,0)</f>
        <v>0</v>
      </c>
    </row>
    <row r="112" spans="1:15" x14ac:dyDescent="0.25">
      <c r="A112" s="151"/>
      <c r="B112" s="152"/>
      <c r="C112" s="69" t="s">
        <v>46</v>
      </c>
      <c r="D112" t="s">
        <v>67</v>
      </c>
      <c r="E112" t="str">
        <v>Norway</v>
      </c>
      <c r="F112" s="131" t="s">
        <v>50</v>
      </c>
      <c r="G112" s="125">
        <f>IF(F112='Master Score'!$R$4,1,0)</f>
        <v>1</v>
      </c>
      <c r="H112" s="131" t="s">
        <v>48</v>
      </c>
      <c r="I112" s="125">
        <f>IF(H112='Master Score'!$R$4,1,0)</f>
        <v>0</v>
      </c>
      <c r="J112" s="131" t="s">
        <v>50</v>
      </c>
      <c r="K112" s="125">
        <f>IF(J112='Master Score'!$R$4,1,0)</f>
        <v>1</v>
      </c>
      <c r="L112" s="131" t="s">
        <v>48</v>
      </c>
      <c r="M112" s="125">
        <f>IF(L112='Master Score'!$R$4,1,0)</f>
        <v>0</v>
      </c>
      <c r="N112" s="131" t="s">
        <v>50</v>
      </c>
      <c r="O112">
        <f>IF(N112='Master Score'!$R$4,1,0)</f>
        <v>1</v>
      </c>
    </row>
    <row r="113" spans="1:15" ht="15.75" thickBot="1" x14ac:dyDescent="0.3">
      <c r="A113" s="151"/>
      <c r="B113" s="152"/>
      <c r="C113" s="70" t="s">
        <v>46</v>
      </c>
      <c r="D113" s="64" t="s">
        <v>68</v>
      </c>
      <c r="E113" s="64" t="str">
        <v>Senegal</v>
      </c>
      <c r="F113" s="132" t="s">
        <v>49</v>
      </c>
      <c r="G113" s="71">
        <f>IF(F113='Master Score'!$R$5,1,0)</f>
        <v>0</v>
      </c>
      <c r="H113" s="132" t="s">
        <v>49</v>
      </c>
      <c r="I113" s="71">
        <f>IF(H113='Master Score'!$R$5,1,0)</f>
        <v>0</v>
      </c>
      <c r="J113" s="132" t="s">
        <v>49</v>
      </c>
      <c r="K113" s="71">
        <f>IF(J113='Master Score'!$R$5,1,0)</f>
        <v>0</v>
      </c>
      <c r="L113" s="132" t="s">
        <v>49</v>
      </c>
      <c r="M113" s="71">
        <f>IF(L113='Master Score'!$R$5,1,0)</f>
        <v>0</v>
      </c>
      <c r="N113" s="132" t="s">
        <v>49</v>
      </c>
      <c r="O113" s="64">
        <f>IF(N113='Master Score'!$R$5,1,0)</f>
        <v>0</v>
      </c>
    </row>
    <row r="114" spans="1:15" x14ac:dyDescent="0.25">
      <c r="A114" s="153"/>
      <c r="B114" s="154"/>
      <c r="C114" s="69" t="s">
        <v>51</v>
      </c>
      <c r="D114" t="s">
        <v>70</v>
      </c>
      <c r="E114" t="str" cm="1">
        <f t="array" ref="E114:E117">'Master Score'!S2:S5</f>
        <v>Algeria</v>
      </c>
      <c r="F114" s="131" t="s">
        <v>52</v>
      </c>
      <c r="G114" s="125">
        <f>IF(F114='Master Score'!$S$2,1,0)</f>
        <v>0</v>
      </c>
      <c r="H114" s="131" t="s">
        <v>52</v>
      </c>
      <c r="I114" s="125">
        <f>IF(H114='Master Score'!$S$2,1,0)</f>
        <v>0</v>
      </c>
      <c r="J114" s="131" t="s">
        <v>52</v>
      </c>
      <c r="K114" s="125">
        <f>IF(J114='Master Score'!$S$2,1,0)</f>
        <v>0</v>
      </c>
      <c r="L114" s="131" t="s">
        <v>52</v>
      </c>
      <c r="M114" s="125">
        <f>IF(L114='Master Score'!$S$2,1,0)</f>
        <v>0</v>
      </c>
      <c r="N114" s="131" t="s">
        <v>52</v>
      </c>
      <c r="O114">
        <f>IF(N114='Master Score'!$S$2,1,0)</f>
        <v>0</v>
      </c>
    </row>
    <row r="115" spans="1:15" x14ac:dyDescent="0.25">
      <c r="A115" s="153"/>
      <c r="B115" s="154"/>
      <c r="C115" s="69" t="s">
        <v>51</v>
      </c>
      <c r="D115" t="s">
        <v>71</v>
      </c>
      <c r="E115" t="str">
        <v>Argentina</v>
      </c>
      <c r="F115" s="131" t="s">
        <v>53</v>
      </c>
      <c r="G115" s="125">
        <f>IF(F115='Master Score'!$S$3,1,0)</f>
        <v>0</v>
      </c>
      <c r="H115" s="131" t="s">
        <v>53</v>
      </c>
      <c r="I115" s="125">
        <f>IF(H115='Master Score'!$S$3,1,0)</f>
        <v>0</v>
      </c>
      <c r="J115" s="131" t="s">
        <v>53</v>
      </c>
      <c r="K115" s="125">
        <f>IF(J115='Master Score'!$S$3,1,0)</f>
        <v>0</v>
      </c>
      <c r="L115" s="131" t="s">
        <v>54</v>
      </c>
      <c r="M115" s="125">
        <f>IF(L115='Master Score'!$S$3,1,0)</f>
        <v>0</v>
      </c>
      <c r="N115" s="131" t="s">
        <v>54</v>
      </c>
      <c r="O115">
        <f>IF(N115='Master Score'!$S$3,1,0)</f>
        <v>0</v>
      </c>
    </row>
    <row r="116" spans="1:15" x14ac:dyDescent="0.25">
      <c r="A116" s="153"/>
      <c r="B116" s="154"/>
      <c r="C116" s="69" t="s">
        <v>51</v>
      </c>
      <c r="D116" t="s">
        <v>67</v>
      </c>
      <c r="E116" t="str">
        <v>Austria</v>
      </c>
      <c r="F116" s="131" t="s">
        <v>54</v>
      </c>
      <c r="G116" s="125">
        <f>IF(F116='Master Score'!$S$4,1,0)</f>
        <v>1</v>
      </c>
      <c r="H116" s="131" t="s">
        <v>54</v>
      </c>
      <c r="I116" s="125">
        <f>IF(H116='Master Score'!$S$4,1,0)</f>
        <v>1</v>
      </c>
      <c r="J116" s="131" t="s">
        <v>54</v>
      </c>
      <c r="K116" s="125">
        <f>IF(J116='Master Score'!$S$4,1,0)</f>
        <v>1</v>
      </c>
      <c r="L116" s="131" t="s">
        <v>54</v>
      </c>
      <c r="M116" s="125">
        <f>IF(L116='Master Score'!$S$4,1,0)</f>
        <v>1</v>
      </c>
      <c r="N116" s="131" t="s">
        <v>53</v>
      </c>
      <c r="O116">
        <f>IF(N116='Master Score'!$S$4,1,0)</f>
        <v>0</v>
      </c>
    </row>
    <row r="117" spans="1:15" ht="15.75" thickBot="1" x14ac:dyDescent="0.3">
      <c r="A117" s="153"/>
      <c r="B117" s="154"/>
      <c r="C117" s="70" t="s">
        <v>51</v>
      </c>
      <c r="D117" s="64" t="s">
        <v>68</v>
      </c>
      <c r="E117" s="64" t="str">
        <v>Jordan</v>
      </c>
      <c r="F117" s="132" t="s">
        <v>55</v>
      </c>
      <c r="G117" s="71">
        <f>IF(F117='Master Score'!$S$5,1,0)</f>
        <v>1</v>
      </c>
      <c r="H117" s="132" t="s">
        <v>55</v>
      </c>
      <c r="I117" s="71">
        <f>IF(H117='Master Score'!$S$5,1,0)</f>
        <v>1</v>
      </c>
      <c r="J117" s="132" t="s">
        <v>55</v>
      </c>
      <c r="K117" s="71">
        <f>IF(J117='Master Score'!$S$5,1,0)</f>
        <v>1</v>
      </c>
      <c r="L117" s="132" t="s">
        <v>55</v>
      </c>
      <c r="M117" s="71">
        <f>IF(L117='Master Score'!$S$5,1,0)</f>
        <v>1</v>
      </c>
      <c r="N117" s="132" t="s">
        <v>55</v>
      </c>
      <c r="O117" s="64">
        <f>IF(N117='Master Score'!$S$5,1,0)</f>
        <v>1</v>
      </c>
    </row>
    <row r="118" spans="1:15" x14ac:dyDescent="0.25">
      <c r="A118" s="155"/>
      <c r="B118" s="156"/>
      <c r="C118" s="69" t="s">
        <v>56</v>
      </c>
      <c r="D118" t="s">
        <v>70</v>
      </c>
      <c r="E118" t="str" cm="1">
        <f t="array" ref="E118:E121">'Master Score'!T2:T5</f>
        <v>Colombia</v>
      </c>
      <c r="F118" s="131" t="s">
        <v>57</v>
      </c>
      <c r="G118" s="125">
        <f>IF(F118='Master Score'!$T$2,1,0)</f>
        <v>0</v>
      </c>
      <c r="H118" s="131" t="s">
        <v>57</v>
      </c>
      <c r="I118" s="125">
        <f>IF(H118='Master Score'!$T$2,1,0)</f>
        <v>0</v>
      </c>
      <c r="J118" s="131" t="s">
        <v>57</v>
      </c>
      <c r="K118" s="125">
        <f>IF(J118='Master Score'!$T$2,1,0)</f>
        <v>0</v>
      </c>
      <c r="L118" s="131" t="s">
        <v>57</v>
      </c>
      <c r="M118" s="125">
        <f>IF(L118='Master Score'!$T$2,1,0)</f>
        <v>0</v>
      </c>
      <c r="N118" s="131" t="s">
        <v>57</v>
      </c>
      <c r="O118">
        <f>IF(N118='Master Score'!$T$2,1,0)</f>
        <v>0</v>
      </c>
    </row>
    <row r="119" spans="1:15" x14ac:dyDescent="0.25">
      <c r="A119" s="155"/>
      <c r="B119" s="156"/>
      <c r="C119" s="69" t="s">
        <v>56</v>
      </c>
      <c r="D119" t="s">
        <v>71</v>
      </c>
      <c r="E119" t="str">
        <v>Congo DR</v>
      </c>
      <c r="F119" s="131" t="s">
        <v>60</v>
      </c>
      <c r="G119" s="125">
        <f>IF(F119='Master Score'!$T$3,1,0)</f>
        <v>0</v>
      </c>
      <c r="H119" s="131" t="s">
        <v>60</v>
      </c>
      <c r="I119" s="125">
        <f>IF(H119='Master Score'!$T$3,1,0)</f>
        <v>0</v>
      </c>
      <c r="J119" s="131" t="s">
        <v>60</v>
      </c>
      <c r="K119" s="125">
        <f>IF(J119='Master Score'!$T$3,1,0)</f>
        <v>0</v>
      </c>
      <c r="L119" s="131" t="s">
        <v>60</v>
      </c>
      <c r="M119" s="125">
        <f>IF(L119='Master Score'!$T$3,1,0)</f>
        <v>0</v>
      </c>
      <c r="N119" s="131" t="s">
        <v>60</v>
      </c>
      <c r="O119">
        <f>IF(N119='Master Score'!$T$3,1,0)</f>
        <v>0</v>
      </c>
    </row>
    <row r="120" spans="1:15" x14ac:dyDescent="0.25">
      <c r="A120" s="155"/>
      <c r="B120" s="156"/>
      <c r="C120" s="69" t="s">
        <v>56</v>
      </c>
      <c r="D120" t="s">
        <v>67</v>
      </c>
      <c r="E120" t="str">
        <v>Portugal</v>
      </c>
      <c r="F120" s="131" t="s">
        <v>58</v>
      </c>
      <c r="G120" s="125">
        <f>IF(F120='Master Score'!$T$4,1,0)</f>
        <v>0</v>
      </c>
      <c r="H120" s="131" t="s">
        <v>58</v>
      </c>
      <c r="I120" s="125">
        <f>IF(H120='Master Score'!$T$4,1,0)</f>
        <v>0</v>
      </c>
      <c r="J120" s="131" t="s">
        <v>59</v>
      </c>
      <c r="K120" s="125">
        <f>IF(J120='Master Score'!$T$4,1,0)</f>
        <v>0</v>
      </c>
      <c r="L120" s="131" t="s">
        <v>58</v>
      </c>
      <c r="M120" s="125">
        <f>IF(L120='Master Score'!$T$4,1,0)</f>
        <v>0</v>
      </c>
      <c r="N120" s="131" t="s">
        <v>58</v>
      </c>
      <c r="O120">
        <f>IF(N120='Master Score'!$T$4,1,0)</f>
        <v>0</v>
      </c>
    </row>
    <row r="121" spans="1:15" ht="15.75" thickBot="1" x14ac:dyDescent="0.3">
      <c r="A121" s="155"/>
      <c r="B121" s="156"/>
      <c r="C121" s="70" t="s">
        <v>56</v>
      </c>
      <c r="D121" s="64" t="s">
        <v>68</v>
      </c>
      <c r="E121" s="64" t="str">
        <v>Uzbekistan</v>
      </c>
      <c r="F121" s="132" t="s">
        <v>59</v>
      </c>
      <c r="G121" s="71">
        <f>IF(F121='Master Score'!$T$5,1,0)</f>
        <v>1</v>
      </c>
      <c r="H121" s="132" t="s">
        <v>59</v>
      </c>
      <c r="I121" s="71">
        <f>IF(H121='Master Score'!$T$5,1,0)</f>
        <v>1</v>
      </c>
      <c r="J121" s="132" t="s">
        <v>58</v>
      </c>
      <c r="K121" s="71">
        <f>IF(J121='Master Score'!$T$5,1,0)</f>
        <v>0</v>
      </c>
      <c r="L121" s="132" t="s">
        <v>59</v>
      </c>
      <c r="M121" s="71">
        <f>IF(L121='Master Score'!$T$5,1,0)</f>
        <v>1</v>
      </c>
      <c r="N121" s="132" t="s">
        <v>59</v>
      </c>
      <c r="O121" s="64">
        <f>IF(N121='Master Score'!$T$5,1,0)</f>
        <v>1</v>
      </c>
    </row>
    <row r="122" spans="1:15" x14ac:dyDescent="0.25">
      <c r="A122" s="134"/>
      <c r="B122" s="17"/>
      <c r="C122" s="69" t="s">
        <v>61</v>
      </c>
      <c r="D122" t="s">
        <v>70</v>
      </c>
      <c r="E122" t="str" cm="1">
        <f t="array" ref="E122:E125">'Master Score'!U2:U5</f>
        <v>Croatia</v>
      </c>
      <c r="F122" s="131" t="s">
        <v>63</v>
      </c>
      <c r="G122" s="125">
        <f>IF(F122='Master Score'!$U$2,1,0)</f>
        <v>1</v>
      </c>
      <c r="H122" s="131" t="s">
        <v>62</v>
      </c>
      <c r="I122" s="125">
        <f>IF(H122='Master Score'!$U$2,1,0)</f>
        <v>0</v>
      </c>
      <c r="J122" s="131" t="s">
        <v>62</v>
      </c>
      <c r="K122" s="125">
        <f>IF(J122='Master Score'!$U$2,1,0)</f>
        <v>0</v>
      </c>
      <c r="L122" s="131" t="s">
        <v>62</v>
      </c>
      <c r="M122" s="125">
        <f>IF(L122='Master Score'!$U$2,1,0)</f>
        <v>0</v>
      </c>
      <c r="N122" s="131" t="s">
        <v>62</v>
      </c>
      <c r="O122">
        <f>IF(N122='Master Score'!$U$2,1,0)</f>
        <v>0</v>
      </c>
    </row>
    <row r="123" spans="1:15" x14ac:dyDescent="0.25">
      <c r="A123" s="134"/>
      <c r="B123" s="17"/>
      <c r="C123" s="69" t="s">
        <v>61</v>
      </c>
      <c r="D123" t="s">
        <v>71</v>
      </c>
      <c r="E123" t="str">
        <v>England</v>
      </c>
      <c r="F123" s="131" t="s">
        <v>62</v>
      </c>
      <c r="G123" s="125">
        <f>IF(F123='Master Score'!$U$3,1,0)</f>
        <v>1</v>
      </c>
      <c r="H123" s="131" t="s">
        <v>63</v>
      </c>
      <c r="I123" s="125">
        <f>IF(H123='Master Score'!$U$3,1,0)</f>
        <v>0</v>
      </c>
      <c r="J123" s="131" t="s">
        <v>63</v>
      </c>
      <c r="K123" s="125">
        <f>IF(J123='Master Score'!$U$3,1,0)</f>
        <v>0</v>
      </c>
      <c r="L123" s="131" t="s">
        <v>63</v>
      </c>
      <c r="M123" s="125">
        <f>IF(L123='Master Score'!$U$3,1,0)</f>
        <v>0</v>
      </c>
      <c r="N123" s="131" t="s">
        <v>63</v>
      </c>
      <c r="O123">
        <f>IF(N123='Master Score'!$U$3,1,0)</f>
        <v>0</v>
      </c>
    </row>
    <row r="124" spans="1:15" x14ac:dyDescent="0.25">
      <c r="A124" s="134"/>
      <c r="B124" s="17"/>
      <c r="C124" s="69" t="s">
        <v>61</v>
      </c>
      <c r="D124" t="s">
        <v>67</v>
      </c>
      <c r="E124" t="str">
        <v>Ghana</v>
      </c>
      <c r="F124" s="131" t="s">
        <v>64</v>
      </c>
      <c r="G124" s="125">
        <f>IF(F124='Master Score'!$U$4,1,0)</f>
        <v>1</v>
      </c>
      <c r="H124" s="131" t="s">
        <v>64</v>
      </c>
      <c r="I124" s="125">
        <f>IF(H124='Master Score'!$U$4,1,0)</f>
        <v>1</v>
      </c>
      <c r="J124" s="131" t="s">
        <v>64</v>
      </c>
      <c r="K124" s="125">
        <f>IF(J124='Master Score'!$U$4,1,0)</f>
        <v>1</v>
      </c>
      <c r="L124" s="131" t="s">
        <v>64</v>
      </c>
      <c r="M124" s="125">
        <f>IF(L124='Master Score'!$U$4,1,0)</f>
        <v>1</v>
      </c>
      <c r="N124" s="131" t="s">
        <v>64</v>
      </c>
      <c r="O124">
        <f>IF(N124='Master Score'!$U$4,1,0)</f>
        <v>1</v>
      </c>
    </row>
    <row r="125" spans="1:15" ht="15.75" thickBot="1" x14ac:dyDescent="0.3">
      <c r="A125" s="134"/>
      <c r="B125" s="17"/>
      <c r="C125" s="70" t="s">
        <v>61</v>
      </c>
      <c r="D125" s="64" t="s">
        <v>68</v>
      </c>
      <c r="E125" s="64" t="str">
        <v>Panama</v>
      </c>
      <c r="F125" s="132" t="s">
        <v>65</v>
      </c>
      <c r="G125" s="71">
        <f>IF(F125='Master Score'!$U$5,1,0)</f>
        <v>1</v>
      </c>
      <c r="H125" s="132" t="s">
        <v>65</v>
      </c>
      <c r="I125" s="71">
        <f>IF(H125='Master Score'!$U$5,1,0)</f>
        <v>1</v>
      </c>
      <c r="J125" s="132" t="s">
        <v>65</v>
      </c>
      <c r="K125" s="71">
        <f>IF(J125='Master Score'!$U$5,1,0)</f>
        <v>1</v>
      </c>
      <c r="L125" s="132" t="s">
        <v>65</v>
      </c>
      <c r="M125" s="71">
        <f>IF(L125='Master Score'!$U$5,1,0)</f>
        <v>1</v>
      </c>
      <c r="N125" s="132" t="s">
        <v>65</v>
      </c>
      <c r="O125" s="64">
        <f>IF(N125='Master Score'!$U$5,1,0)</f>
        <v>1</v>
      </c>
    </row>
  </sheetData>
  <phoneticPr fontId="5" type="noConversion"/>
  <conditionalFormatting sqref="C78:C125">
    <cfRule type="cellIs" dxfId="168" priority="239" operator="equal">
      <formula>"K"</formula>
    </cfRule>
    <cfRule type="cellIs" dxfId="167" priority="238" operator="equal">
      <formula>"J"</formula>
    </cfRule>
    <cfRule type="cellIs" dxfId="166" priority="237" operator="equal">
      <formula>"I"</formula>
    </cfRule>
    <cfRule type="cellIs" dxfId="165" priority="236" operator="equal">
      <formula>"H"</formula>
    </cfRule>
    <cfRule type="cellIs" dxfId="164" priority="235" operator="equal">
      <formula>"G"</formula>
    </cfRule>
    <cfRule type="cellIs" dxfId="163" priority="234" operator="equal">
      <formula>"F"</formula>
    </cfRule>
    <cfRule type="cellIs" dxfId="162" priority="233" operator="equal">
      <formula>"E"</formula>
    </cfRule>
    <cfRule type="cellIs" dxfId="161" priority="240" operator="equal">
      <formula>"L"</formula>
    </cfRule>
    <cfRule type="cellIs" dxfId="160" priority="232" operator="equal">
      <formula>"D"</formula>
    </cfRule>
    <cfRule type="cellIs" dxfId="159" priority="231" operator="equal">
      <formula>"C"</formula>
    </cfRule>
    <cfRule type="cellIs" dxfId="158" priority="229" operator="equal">
      <formula>"A"</formula>
    </cfRule>
    <cfRule type="cellIs" dxfId="157" priority="230" operator="equal">
      <formula>"B"</formula>
    </cfRule>
  </conditionalFormatting>
  <conditionalFormatting sqref="F78:F85">
    <cfRule type="duplicateValues" dxfId="156" priority="166"/>
  </conditionalFormatting>
  <conditionalFormatting sqref="F78:F125">
    <cfRule type="duplicateValues" dxfId="155" priority="165"/>
  </conditionalFormatting>
  <conditionalFormatting sqref="G78:G125">
    <cfRule type="cellIs" dxfId="154" priority="164" operator="equal">
      <formula>1</formula>
    </cfRule>
    <cfRule type="cellIs" dxfId="153" priority="163" operator="equal">
      <formula>0</formula>
    </cfRule>
  </conditionalFormatting>
  <conditionalFormatting sqref="H78:H85">
    <cfRule type="duplicateValues" dxfId="152" priority="180"/>
  </conditionalFormatting>
  <conditionalFormatting sqref="H78:H125">
    <cfRule type="duplicateValues" dxfId="151" priority="179"/>
  </conditionalFormatting>
  <conditionalFormatting sqref="I78:I125">
    <cfRule type="cellIs" dxfId="150" priority="162" operator="equal">
      <formula>1</formula>
    </cfRule>
    <cfRule type="cellIs" dxfId="149" priority="161" operator="equal">
      <formula>0</formula>
    </cfRule>
  </conditionalFormatting>
  <conditionalFormatting sqref="J78:J125">
    <cfRule type="duplicateValues" dxfId="148" priority="224"/>
    <cfRule type="duplicateValues" dxfId="147" priority="223"/>
  </conditionalFormatting>
  <conditionalFormatting sqref="K78:K125">
    <cfRule type="cellIs" dxfId="146" priority="160" operator="equal">
      <formula>1</formula>
    </cfRule>
    <cfRule type="cellIs" dxfId="145" priority="159" operator="equal">
      <formula>0</formula>
    </cfRule>
  </conditionalFormatting>
  <conditionalFormatting sqref="L78:L125">
    <cfRule type="duplicateValues" dxfId="144" priority="221"/>
    <cfRule type="duplicateValues" dxfId="143" priority="222"/>
  </conditionalFormatting>
  <conditionalFormatting sqref="M78:M125">
    <cfRule type="cellIs" dxfId="142" priority="158" operator="equal">
      <formula>1</formula>
    </cfRule>
    <cfRule type="cellIs" dxfId="141" priority="157" operator="equal">
      <formula>0</formula>
    </cfRule>
  </conditionalFormatting>
  <conditionalFormatting sqref="N78">
    <cfRule type="duplicateValues" dxfId="140" priority="58"/>
    <cfRule type="duplicateValues" dxfId="139" priority="57"/>
  </conditionalFormatting>
  <conditionalFormatting sqref="N79">
    <cfRule type="duplicateValues" dxfId="138" priority="55"/>
    <cfRule type="duplicateValues" dxfId="137" priority="56"/>
  </conditionalFormatting>
  <conditionalFormatting sqref="N80">
    <cfRule type="duplicateValues" dxfId="136" priority="54"/>
    <cfRule type="duplicateValues" dxfId="135" priority="53"/>
  </conditionalFormatting>
  <conditionalFormatting sqref="N81">
    <cfRule type="duplicateValues" dxfId="134" priority="52"/>
    <cfRule type="duplicateValues" dxfId="133" priority="51"/>
  </conditionalFormatting>
  <conditionalFormatting sqref="N82">
    <cfRule type="duplicateValues" dxfId="132" priority="49"/>
    <cfRule type="duplicateValues" dxfId="131" priority="50"/>
  </conditionalFormatting>
  <conditionalFormatting sqref="N83">
    <cfRule type="duplicateValues" dxfId="130" priority="47"/>
    <cfRule type="duplicateValues" dxfId="129" priority="48"/>
  </conditionalFormatting>
  <conditionalFormatting sqref="N84">
    <cfRule type="duplicateValues" dxfId="128" priority="45"/>
    <cfRule type="duplicateValues" dxfId="127" priority="46"/>
  </conditionalFormatting>
  <conditionalFormatting sqref="N85">
    <cfRule type="duplicateValues" dxfId="126" priority="44"/>
    <cfRule type="duplicateValues" dxfId="125" priority="43"/>
  </conditionalFormatting>
  <conditionalFormatting sqref="N86">
    <cfRule type="duplicateValues" dxfId="124" priority="41"/>
  </conditionalFormatting>
  <conditionalFormatting sqref="N87">
    <cfRule type="duplicateValues" dxfId="123" priority="38"/>
  </conditionalFormatting>
  <conditionalFormatting sqref="N88">
    <cfRule type="duplicateValues" dxfId="122" priority="40"/>
  </conditionalFormatting>
  <conditionalFormatting sqref="N89">
    <cfRule type="duplicateValues" dxfId="121" priority="39"/>
  </conditionalFormatting>
  <conditionalFormatting sqref="N90">
    <cfRule type="duplicateValues" dxfId="120" priority="37"/>
  </conditionalFormatting>
  <conditionalFormatting sqref="N91">
    <cfRule type="duplicateValues" dxfId="119" priority="36"/>
  </conditionalFormatting>
  <conditionalFormatting sqref="N92">
    <cfRule type="duplicateValues" dxfId="118" priority="35"/>
  </conditionalFormatting>
  <conditionalFormatting sqref="N93">
    <cfRule type="duplicateValues" dxfId="117" priority="34"/>
  </conditionalFormatting>
  <conditionalFormatting sqref="N94">
    <cfRule type="duplicateValues" dxfId="116" priority="33"/>
  </conditionalFormatting>
  <conditionalFormatting sqref="N95">
    <cfRule type="duplicateValues" dxfId="115" priority="31"/>
  </conditionalFormatting>
  <conditionalFormatting sqref="N96">
    <cfRule type="duplicateValues" dxfId="114" priority="30"/>
  </conditionalFormatting>
  <conditionalFormatting sqref="N97">
    <cfRule type="duplicateValues" dxfId="113" priority="32"/>
  </conditionalFormatting>
  <conditionalFormatting sqref="N98">
    <cfRule type="duplicateValues" dxfId="112" priority="29"/>
  </conditionalFormatting>
  <conditionalFormatting sqref="N99">
    <cfRule type="duplicateValues" dxfId="111" priority="28"/>
  </conditionalFormatting>
  <conditionalFormatting sqref="N100">
    <cfRule type="duplicateValues" dxfId="110" priority="25"/>
  </conditionalFormatting>
  <conditionalFormatting sqref="N101">
    <cfRule type="duplicateValues" dxfId="109" priority="26"/>
  </conditionalFormatting>
  <conditionalFormatting sqref="N102">
    <cfRule type="duplicateValues" dxfId="108" priority="24"/>
  </conditionalFormatting>
  <conditionalFormatting sqref="N103">
    <cfRule type="duplicateValues" dxfId="107" priority="23"/>
  </conditionalFormatting>
  <conditionalFormatting sqref="N104">
    <cfRule type="duplicateValues" dxfId="106" priority="22"/>
  </conditionalFormatting>
  <conditionalFormatting sqref="N105">
    <cfRule type="duplicateValues" dxfId="105" priority="21"/>
  </conditionalFormatting>
  <conditionalFormatting sqref="N106">
    <cfRule type="duplicateValues" dxfId="104" priority="20"/>
  </conditionalFormatting>
  <conditionalFormatting sqref="N107">
    <cfRule type="duplicateValues" dxfId="103" priority="19"/>
  </conditionalFormatting>
  <conditionalFormatting sqref="N108">
    <cfRule type="duplicateValues" dxfId="102" priority="18"/>
  </conditionalFormatting>
  <conditionalFormatting sqref="N109">
    <cfRule type="duplicateValues" dxfId="101" priority="17"/>
  </conditionalFormatting>
  <conditionalFormatting sqref="N110">
    <cfRule type="duplicateValues" dxfId="100" priority="16"/>
  </conditionalFormatting>
  <conditionalFormatting sqref="N111">
    <cfRule type="duplicateValues" dxfId="99" priority="15"/>
  </conditionalFormatting>
  <conditionalFormatting sqref="N112">
    <cfRule type="duplicateValues" dxfId="98" priority="14"/>
  </conditionalFormatting>
  <conditionalFormatting sqref="N113">
    <cfRule type="duplicateValues" dxfId="97" priority="13"/>
  </conditionalFormatting>
  <conditionalFormatting sqref="N114">
    <cfRule type="duplicateValues" dxfId="96" priority="12"/>
  </conditionalFormatting>
  <conditionalFormatting sqref="N115">
    <cfRule type="duplicateValues" dxfId="95" priority="11"/>
  </conditionalFormatting>
  <conditionalFormatting sqref="N116">
    <cfRule type="duplicateValues" dxfId="94" priority="10"/>
  </conditionalFormatting>
  <conditionalFormatting sqref="N117">
    <cfRule type="duplicateValues" dxfId="93" priority="9"/>
  </conditionalFormatting>
  <conditionalFormatting sqref="N118">
    <cfRule type="duplicateValues" dxfId="92" priority="8"/>
  </conditionalFormatting>
  <conditionalFormatting sqref="N119">
    <cfRule type="duplicateValues" dxfId="91" priority="7"/>
  </conditionalFormatting>
  <conditionalFormatting sqref="N120">
    <cfRule type="duplicateValues" dxfId="90" priority="6"/>
  </conditionalFormatting>
  <conditionalFormatting sqref="N121">
    <cfRule type="duplicateValues" dxfId="89" priority="5"/>
  </conditionalFormatting>
  <conditionalFormatting sqref="N122">
    <cfRule type="duplicateValues" dxfId="88" priority="4"/>
  </conditionalFormatting>
  <conditionalFormatting sqref="N123">
    <cfRule type="duplicateValues" dxfId="87" priority="3"/>
  </conditionalFormatting>
  <conditionalFormatting sqref="N124">
    <cfRule type="duplicateValues" dxfId="86" priority="2"/>
  </conditionalFormatting>
  <conditionalFormatting sqref="N125">
    <cfRule type="duplicateValues" dxfId="85" priority="1"/>
  </conditionalFormatting>
  <conditionalFormatting sqref="O78:O125">
    <cfRule type="cellIs" dxfId="84" priority="155" operator="equal">
      <formula>0</formula>
    </cfRule>
    <cfRule type="cellIs" dxfId="83" priority="156" operator="equal">
      <formula>1</formula>
    </cfRule>
  </conditionalFormatting>
  <dataValidations count="13">
    <dataValidation type="list" allowBlank="1" showInputMessage="1" showErrorMessage="1" sqref="H4:H75 F4:F75" xr:uid="{00AE0C32-8321-4F94-A4FC-1813DCD6DA12}">
      <formula1>"X,1,2"</formula1>
    </dataValidation>
    <dataValidation type="list" allowBlank="1" showInputMessage="1" showErrorMessage="1" sqref="H122:H125 F122:F125 N122:N125" xr:uid="{8F2C4972-50E2-4789-8969-0B9BFFBC4BBE}">
      <formula1>"England,Croatia,Ghana,Panama"</formula1>
    </dataValidation>
    <dataValidation type="list" allowBlank="1" showInputMessage="1" showErrorMessage="1" sqref="H118:H121 F118:F121 N118:N121" xr:uid="{209E9996-1061-4666-B105-E395988FBD77}">
      <formula1>"Portugal,Congo DR,Uzbekistan,Colombia"</formula1>
    </dataValidation>
    <dataValidation type="list" allowBlank="1" showInputMessage="1" showErrorMessage="1" sqref="H114:H117 F114:F117 N114:N117" xr:uid="{709568D7-317B-402A-B26C-E212A40F866C}">
      <formula1>"Argentina,Algeria,Austria,Jordan"</formula1>
    </dataValidation>
    <dataValidation type="list" allowBlank="1" showInputMessage="1" showErrorMessage="1" sqref="H110:H113 F110:F113 N110:N113" xr:uid="{4031E800-D59F-482A-8023-AE1370052917}">
      <formula1>"France,Senegal,Iraq,Norway"</formula1>
    </dataValidation>
    <dataValidation type="list" allowBlank="1" showInputMessage="1" showErrorMessage="1" sqref="H106:H109 F106:F109 N106:N109" xr:uid="{79233C8E-617D-481D-8BBA-3F7EDD0CE880}">
      <formula1>"Spain,Cabo Verde,Saudi Arabia,Uruguay"</formula1>
    </dataValidation>
    <dataValidation type="list" allowBlank="1" showInputMessage="1" showErrorMessage="1" sqref="H102:H105 F102:F105 N102:N105" xr:uid="{1D0654FD-9E7C-47D2-AA9C-036D60F26643}">
      <formula1>"Belgium,Egypt,IR Iran,New Zealand"</formula1>
    </dataValidation>
    <dataValidation type="list" allowBlank="1" showInputMessage="1" showErrorMessage="1" sqref="H98:H101 F98:F101 N98:N101" xr:uid="{C6FDDCCE-CEE0-4A13-80D0-09A7CA42353E}">
      <formula1>"Netherlands,Japan,Sweden,Tunisia"</formula1>
    </dataValidation>
    <dataValidation type="list" allowBlank="1" showInputMessage="1" showErrorMessage="1" sqref="H94:H97 F94:F97 N94:N97" xr:uid="{C30C1FC6-FA6A-41A9-B522-619CF8C1567A}">
      <formula1>"Germany,Côte d'Ivoire,Curaçao,Ecuador"</formula1>
    </dataValidation>
    <dataValidation type="list" allowBlank="1" showInputMessage="1" showErrorMessage="1" sqref="H90:H93 F90:F93 N90:N93" xr:uid="{90C2DDA4-D99F-4BCD-BF2B-F3DC7ED4A2AF}">
      <formula1>"Türkiye,Australia,USA,Paraguay"</formula1>
    </dataValidation>
    <dataValidation type="list" allowBlank="1" showInputMessage="1" showErrorMessage="1" sqref="H86:H89 F86:F89 N86:N89" xr:uid="{32C6BB1D-D15B-4BFE-BC4F-F198DF5C608D}">
      <formula1>"Brazil,Morocco,Haiti,Scotland"</formula1>
    </dataValidation>
    <dataValidation type="list" allowBlank="1" showInputMessage="1" showErrorMessage="1" sqref="H82:H85 F82:F85 N82:N85" xr:uid="{D9C018C4-2585-43D2-B294-D59EE2855230}">
      <formula1>"Canada, Bosnia &amp; Herzegovina,Qatar,Switzerland"</formula1>
    </dataValidation>
    <dataValidation type="list" allowBlank="1" showInputMessage="1" showErrorMessage="1" sqref="H78:H81 F78:F81 N78:N81" xr:uid="{94CD7447-37D4-4922-8882-2E2388099B95}">
      <formula1>"Mexico,South Africa,South Korea,Czechia"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8A5C-0623-42E9-B356-ED4F8746F55C}">
  <dimension ref="A1:S12"/>
  <sheetViews>
    <sheetView workbookViewId="0">
      <selection activeCell="J14" sqref="J14"/>
    </sheetView>
  </sheetViews>
  <sheetFormatPr defaultRowHeight="15" x14ac:dyDescent="0.25"/>
  <cols>
    <col min="1" max="1" width="27.85546875" bestFit="1" customWidth="1"/>
    <col min="2" max="2" width="3" bestFit="1" customWidth="1"/>
    <col min="3" max="3" width="15.42578125" bestFit="1" customWidth="1"/>
    <col min="4" max="4" width="10.5703125" customWidth="1"/>
    <col min="5" max="5" width="15.42578125" customWidth="1"/>
    <col min="6" max="6" width="12.42578125" bestFit="1" customWidth="1"/>
    <col min="7" max="7" width="22.5703125" bestFit="1" customWidth="1"/>
    <col min="8" max="8" width="11.42578125" bestFit="1" customWidth="1"/>
    <col min="9" max="9" width="11.42578125" customWidth="1"/>
    <col min="12" max="12" width="6.7109375" customWidth="1"/>
    <col min="13" max="13" width="15.42578125" bestFit="1" customWidth="1"/>
    <col min="15" max="15" width="0.28515625" customWidth="1"/>
    <col min="16" max="16" width="13.5703125" bestFit="1" customWidth="1"/>
    <col min="17" max="17" width="17.28515625" bestFit="1" customWidth="1"/>
    <col min="18" max="18" width="12.5703125" bestFit="1" customWidth="1"/>
  </cols>
  <sheetData>
    <row r="1" spans="1:19" x14ac:dyDescent="0.25">
      <c r="A1" s="159" t="s">
        <v>105</v>
      </c>
      <c r="C1" s="2" t="s">
        <v>91</v>
      </c>
      <c r="D1" s="2" t="s">
        <v>90</v>
      </c>
      <c r="E1" s="2" t="s">
        <v>99</v>
      </c>
      <c r="F1" s="2" t="s">
        <v>76</v>
      </c>
      <c r="G1" s="2" t="s">
        <v>77</v>
      </c>
      <c r="H1" s="2" t="s">
        <v>78</v>
      </c>
      <c r="I1" s="2" t="s">
        <v>93</v>
      </c>
      <c r="J1" s="2" t="s">
        <v>92</v>
      </c>
      <c r="K1" s="2" t="s">
        <v>107</v>
      </c>
      <c r="L1" s="160" t="s">
        <v>79</v>
      </c>
      <c r="M1" s="160" t="s">
        <v>106</v>
      </c>
      <c r="N1" s="160" t="s">
        <v>73</v>
      </c>
      <c r="P1" s="160" t="s">
        <v>108</v>
      </c>
      <c r="Q1" s="160" t="s">
        <v>110</v>
      </c>
      <c r="R1" s="160" t="s">
        <v>109</v>
      </c>
      <c r="S1">
        <f>COUNTA(A2:B6)</f>
        <v>5</v>
      </c>
    </row>
    <row r="2" spans="1:19" x14ac:dyDescent="0.25">
      <c r="A2" s="158" t="s">
        <v>97</v>
      </c>
      <c r="B2" s="158"/>
      <c r="C2" s="78" t="s">
        <v>66</v>
      </c>
      <c r="D2" t="str" cm="1">
        <f t="array" ref="D2:E2">_xlfn.TEXTSPLIT(C2," ")</f>
        <v>Matthew</v>
      </c>
      <c r="E2" t="str">
        <v>O'Brien</v>
      </c>
      <c r="F2">
        <f>Predictions!F3</f>
        <v>2</v>
      </c>
      <c r="G2">
        <f>Predictions!G3</f>
        <v>19</v>
      </c>
      <c r="H2">
        <f t="shared" ref="H2:H6" si="0">SUM(F2:G2)</f>
        <v>21</v>
      </c>
      <c r="I2" s="59">
        <v>270</v>
      </c>
      <c r="J2" s="79" t="b">
        <v>1</v>
      </c>
      <c r="K2" s="56">
        <f>Stats!D2</f>
        <v>0.66666666666666663</v>
      </c>
      <c r="L2" s="1" t="s">
        <v>70</v>
      </c>
      <c r="M2" s="161" t="str" cm="1">
        <f t="array" ref="M2">IFERROR(INDEX(_xlfn.SORTBY($C$2:$C$6,$F$2:$F$6,-1),1),"")</f>
        <v>Matthew O'Brien</v>
      </c>
      <c r="N2" s="1">
        <f>IFERROR(_xlfn.XLOOKUP(M2,$C$2:$C$6,$F$2:$F$6),"")</f>
        <v>2</v>
      </c>
      <c r="P2">
        <f>Stats!B2</f>
        <v>3</v>
      </c>
      <c r="Q2">
        <f>72-P2</f>
        <v>69</v>
      </c>
      <c r="R2">
        <f>'Master Score'!H74</f>
        <v>7</v>
      </c>
    </row>
    <row r="3" spans="1:19" x14ac:dyDescent="0.25">
      <c r="A3" s="158" t="s">
        <v>114</v>
      </c>
      <c r="B3" s="158"/>
      <c r="C3" s="59" t="s">
        <v>111</v>
      </c>
      <c r="D3" t="str" cm="1">
        <f t="array" ref="D3:E3">IFERROR(_xlfn.TEXTSPLIT(C3," "),"")</f>
        <v>Aaron</v>
      </c>
      <c r="E3" t="str">
        <v>Twiss</v>
      </c>
      <c r="F3">
        <f>Predictions!H3</f>
        <v>2</v>
      </c>
      <c r="G3">
        <f>Predictions!I3</f>
        <v>12</v>
      </c>
      <c r="H3">
        <f t="shared" si="0"/>
        <v>14</v>
      </c>
      <c r="I3" s="59">
        <v>180</v>
      </c>
      <c r="J3" s="79" t="b">
        <v>1</v>
      </c>
      <c r="K3" s="56">
        <f>Stats!D3</f>
        <v>0.66666666666666663</v>
      </c>
      <c r="L3" s="1" t="s">
        <v>71</v>
      </c>
      <c r="M3" s="161" t="str" cm="1">
        <f t="array" ref="M3">IFERROR(INDEX(_xlfn.SORTBY($C$2:$C$6,$F$2:$F$6,-1),2),"")</f>
        <v>Aaron Twiss</v>
      </c>
      <c r="N3" s="1">
        <f>IFERROR(_xlfn.XLOOKUP(M3,$C$2:$C$6,$F$2:$F$6),"")</f>
        <v>2</v>
      </c>
    </row>
    <row r="4" spans="1:19" x14ac:dyDescent="0.25">
      <c r="A4" s="158" t="s">
        <v>117</v>
      </c>
      <c r="B4" s="158"/>
      <c r="C4" s="59" t="s">
        <v>112</v>
      </c>
      <c r="D4" t="str" cm="1">
        <f t="array" ref="D4:E4">IFERROR(_xlfn.TEXTSPLIT(C4," "),"")</f>
        <v>Arion</v>
      </c>
      <c r="E4" t="str">
        <v>Aliu</v>
      </c>
      <c r="F4">
        <f>Predictions!J3</f>
        <v>2</v>
      </c>
      <c r="G4">
        <f>Predictions!K3</f>
        <v>19</v>
      </c>
      <c r="H4">
        <f t="shared" si="0"/>
        <v>21</v>
      </c>
      <c r="I4" s="59">
        <v>168</v>
      </c>
      <c r="J4" s="79" t="b">
        <v>1</v>
      </c>
      <c r="K4" s="56">
        <f>Stats!D4</f>
        <v>0.66666666666666663</v>
      </c>
      <c r="L4" s="1" t="s">
        <v>67</v>
      </c>
      <c r="M4" s="161" t="str" cm="1">
        <f t="array" ref="M4">IFERROR(INDEX(_xlfn.SORTBY($C$2:$C$6,$F$2:$F$6,-1),3),"")</f>
        <v>Arion Aliu</v>
      </c>
      <c r="N4" s="1">
        <f>IFERROR(_xlfn.XLOOKUP(M4,$C$2:$C$6,$F$2:$F$6),"")</f>
        <v>2</v>
      </c>
    </row>
    <row r="5" spans="1:19" x14ac:dyDescent="0.25">
      <c r="A5" s="158" t="s">
        <v>118</v>
      </c>
      <c r="B5" s="158"/>
      <c r="C5" s="59" t="s">
        <v>115</v>
      </c>
      <c r="D5" t="str" cm="1">
        <f t="array" ref="D5:E5">IFERROR(_xlfn.TEXTSPLIT(C5," "),"")</f>
        <v>Rayan</v>
      </c>
      <c r="E5" t="str">
        <v>Zaibag</v>
      </c>
      <c r="F5">
        <f>Predictions!L3</f>
        <v>2</v>
      </c>
      <c r="G5">
        <f>Predictions!M3</f>
        <v>19</v>
      </c>
      <c r="H5">
        <f t="shared" si="0"/>
        <v>21</v>
      </c>
      <c r="I5" s="59">
        <v>180</v>
      </c>
      <c r="J5" s="79" t="b">
        <v>1</v>
      </c>
      <c r="K5" s="56">
        <f>Stats!D5</f>
        <v>0.66666666666666663</v>
      </c>
      <c r="L5" s="1" t="s">
        <v>68</v>
      </c>
      <c r="M5" s="161" t="str" cm="1">
        <f t="array" ref="M5">IFERROR(INDEX(_xlfn.SORTBY($C$2:$C$6,$F$2:$F$6,-1),4),"")</f>
        <v>Rayan Zaibag</v>
      </c>
      <c r="N5" s="1">
        <f>IFERROR(_xlfn.XLOOKUP(M5,$C$2:$C$6,$F$2:$F$6),"")</f>
        <v>2</v>
      </c>
    </row>
    <row r="6" spans="1:19" x14ac:dyDescent="0.25">
      <c r="A6" s="158" t="s">
        <v>116</v>
      </c>
      <c r="B6" s="158"/>
      <c r="C6" s="59" t="s">
        <v>113</v>
      </c>
      <c r="D6" t="str" cm="1">
        <f t="array" ref="D6:E6">IFERROR(_xlfn.TEXTSPLIT(C6," "),"")</f>
        <v>Jorge</v>
      </c>
      <c r="E6" t="str">
        <v>Lopez</v>
      </c>
      <c r="F6">
        <f>Predictions!N3</f>
        <v>2</v>
      </c>
      <c r="G6">
        <f>Predictions!O3</f>
        <v>13</v>
      </c>
      <c r="H6">
        <f t="shared" si="0"/>
        <v>15</v>
      </c>
      <c r="I6" s="59">
        <v>197</v>
      </c>
      <c r="J6" s="79" t="b">
        <v>1</v>
      </c>
      <c r="K6" s="56">
        <f>Stats!D6</f>
        <v>0.66666666666666663</v>
      </c>
      <c r="L6" s="1" t="s">
        <v>69</v>
      </c>
      <c r="M6" s="161" t="str" cm="1">
        <f t="array" ref="M6">IFERROR(INDEX(_xlfn.SORTBY($C$2:$C$6,$F$2:$F$6,-1),5),"")</f>
        <v>Jorge Lopez</v>
      </c>
      <c r="N6" s="1">
        <f>IFERROR(_xlfn.XLOOKUP(M6,$C$2:$C$6,$F$2:$F$6),"")</f>
        <v>2</v>
      </c>
    </row>
    <row r="12" spans="1:19" x14ac:dyDescent="0.25">
      <c r="E12" s="157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8715-6DAB-4F7C-A6B8-96D9AD830EB7}">
  <dimension ref="A1:BM90"/>
  <sheetViews>
    <sheetView workbookViewId="0">
      <selection activeCell="G17" sqref="G17"/>
    </sheetView>
  </sheetViews>
  <sheetFormatPr defaultRowHeight="15" x14ac:dyDescent="0.25"/>
  <cols>
    <col min="1" max="1" width="15.42578125" bestFit="1" customWidth="1"/>
    <col min="2" max="2" width="22.5703125" bestFit="1" customWidth="1"/>
    <col min="3" max="6" width="18.7109375" customWidth="1"/>
    <col min="7" max="7" width="8.7109375" bestFit="1" customWidth="1"/>
    <col min="8" max="8" width="8.7109375" customWidth="1"/>
    <col min="9" max="9" width="20.5703125" bestFit="1" customWidth="1"/>
    <col min="10" max="10" width="11.5703125" bestFit="1" customWidth="1"/>
    <col min="11" max="11" width="22" bestFit="1" customWidth="1"/>
    <col min="12" max="12" width="12.5703125" bestFit="1" customWidth="1"/>
    <col min="13" max="13" width="9.42578125" bestFit="1" customWidth="1"/>
    <col min="14" max="14" width="6.5703125" bestFit="1" customWidth="1"/>
    <col min="15" max="16" width="22.5703125" bestFit="1" customWidth="1"/>
    <col min="17" max="18" width="5.5703125" bestFit="1" customWidth="1"/>
    <col min="19" max="19" width="4.5703125" bestFit="1" customWidth="1"/>
    <col min="20" max="20" width="17.7109375" bestFit="1" customWidth="1"/>
    <col min="21" max="25" width="15.7109375" style="1" customWidth="1"/>
  </cols>
  <sheetData>
    <row r="1" spans="1:65" s="17" customFormat="1" ht="15.75" thickBot="1" x14ac:dyDescent="0.3">
      <c r="A1" s="20" t="s">
        <v>82</v>
      </c>
      <c r="B1" s="20" t="s">
        <v>100</v>
      </c>
      <c r="C1" s="20" t="s">
        <v>80</v>
      </c>
      <c r="D1" s="20" t="s">
        <v>81</v>
      </c>
      <c r="E1" s="20" t="s">
        <v>83</v>
      </c>
      <c r="F1" s="20" t="s">
        <v>84</v>
      </c>
      <c r="G1" s="20" t="s">
        <v>85</v>
      </c>
      <c r="H1" s="20" t="s">
        <v>89</v>
      </c>
      <c r="I1" s="20" t="s">
        <v>86</v>
      </c>
      <c r="J1" s="20" t="s">
        <v>87</v>
      </c>
      <c r="K1" s="20" t="s">
        <v>88</v>
      </c>
      <c r="L1" s="20" t="s">
        <v>98</v>
      </c>
      <c r="M1" s="20" t="s">
        <v>0</v>
      </c>
      <c r="N1" s="20" t="s">
        <v>1</v>
      </c>
      <c r="O1" s="20" t="s">
        <v>2</v>
      </c>
      <c r="P1" s="20" t="s">
        <v>3</v>
      </c>
      <c r="Q1" s="20">
        <v>1</v>
      </c>
      <c r="R1" s="20">
        <v>2</v>
      </c>
      <c r="S1" s="20" t="s">
        <v>94</v>
      </c>
      <c r="T1" s="20" t="s">
        <v>104</v>
      </c>
      <c r="U1" s="80" t="str">
        <f>Predictions!F1</f>
        <v>Matthew O'Brien</v>
      </c>
      <c r="V1" s="80" t="str">
        <f>Predictions!H1</f>
        <v>Aaron Twiss</v>
      </c>
      <c r="W1" s="80" t="str">
        <f>IF(Predictions!J1=0,"",Predictions!J1)</f>
        <v>Arion Aliu</v>
      </c>
      <c r="X1" s="80" t="str">
        <f>Predictions!L1</f>
        <v>Rayan Zaibag</v>
      </c>
      <c r="Y1" s="80" t="str">
        <f>Predictions!N1</f>
        <v>Jorge Lopez</v>
      </c>
    </row>
    <row r="2" spans="1:65" x14ac:dyDescent="0.25">
      <c r="A2" t="str">
        <f>IF(Leaderboard!C2="","",Leaderboard!C2)</f>
        <v>Matthew O'Brien</v>
      </c>
      <c r="B2">
        <f>COUNT('Master Score'!$G$2:$G$73)+COUNTIF('Master Score'!$G$2:$G$73,"X")</f>
        <v>3</v>
      </c>
      <c r="C2">
        <f>Leaderboard!F2</f>
        <v>2</v>
      </c>
      <c r="D2" s="21">
        <f>IF(B2&gt;0,C2/B2,0)</f>
        <v>0.66666666666666663</v>
      </c>
      <c r="E2" s="22">
        <f>IF(B2&gt;0,C2/B2,0)</f>
        <v>0.66666666666666663</v>
      </c>
      <c r="F2" s="22" cm="1">
        <f t="array" ref="F2">IF(A2="","",IFERROR(_xlfn.STDEV.P(IF(Predictions!F$4:F$75&lt;&gt;"",IF(Predictions!F$4:F$75='Master Score'!$G$2:$G$73,1,0))),0))</f>
        <v>0.16433554953054488</v>
      </c>
      <c r="G2" s="22">
        <f t="shared" ref="G2:G6" si="0">IF(A2="","",IFERROR(F2^2,0))</f>
        <v>2.7006172839506171E-2</v>
      </c>
      <c r="H2" s="22" cm="1">
        <f t="array" ref="H2">IF(A2="","",IFERROR((D2/(1+G2))/SUMPRODUCT(($A$2:$A$20&lt;&gt;"")*($D$2:$D$20/(1+$G$2:$G$20))),0))</f>
        <v>0.19999999999999998</v>
      </c>
      <c r="I2" s="22" cm="1">
        <f t="array" ref="I2">IF(A2="","",IFERROR((D2-AVERAGEIF($A$2:$A$20,"&lt;&gt;",$D$2:$D$20))/_xlfn.STDEV.P(IF($A$2:$A$20&lt;&gt;"",$D$2:$D$20)),0))</f>
        <v>0</v>
      </c>
      <c r="J2" s="22">
        <f>IF(A2="","",ROUND((L2*25)+((1-D2)*30)+(G2*25)+((1-MIN(1,MAX(0,(I2+2)/4)))*20),1))</f>
        <v>34.200000000000003</v>
      </c>
      <c r="K2" s="22">
        <f>IF(A2="","",IFERROR(D2*100*(1-F2),0))</f>
        <v>55.710963364630338</v>
      </c>
      <c r="L2" s="22" cm="1">
        <f t="array" ref="L2">IF(A2="","",IFERROR(SUMPRODUCT((U$2:U$73&lt;&gt;"")*1*(U$2:U$73&lt;&gt;_xlfn.MODE.SNGL(U$2:Y$73)))/COUNTA(U$2:U$73),0))</f>
        <v>0.54166666666666663</v>
      </c>
      <c r="M2" s="23">
        <v>46184</v>
      </c>
      <c r="N2" s="24" t="s">
        <v>6</v>
      </c>
      <c r="O2" s="25" t="s">
        <v>7</v>
      </c>
      <c r="P2" s="25" t="s">
        <v>8</v>
      </c>
      <c r="Q2" s="56">
        <f t="shared" ref="Q2:Q33" si="1">IFERROR(COUNTIF(U2:Y2,1)/(COUNT(U2:Y2)+COUNTIF(U2:Y2,"X")),0)</f>
        <v>1</v>
      </c>
      <c r="R2" s="56">
        <f t="shared" ref="R2:R33" si="2">IFERROR(COUNTIF(U2:Y2,2)/(COUNT(U2:Y2)+COUNTIF(U2:Y2,"X")),0)</f>
        <v>0</v>
      </c>
      <c r="S2" s="56">
        <f t="shared" ref="S2:S33" si="3">IFERROR(COUNTIF(U2:Y2,"X")/(COUNT(U2:Y2)+COUNTIF(U2:Y2,"X")),0)</f>
        <v>0</v>
      </c>
      <c r="T2" s="113">
        <f>IF(_xlfn.XLOOKUP(MAX(Q2:S2),Q2:S2,$Q$1:$S$1)='Master Score'!G2,1,0)</f>
        <v>1</v>
      </c>
      <c r="U2" s="57" cm="1">
        <f t="array" ref="U2:U73">Predictions!F4:F75</f>
        <v>1</v>
      </c>
      <c r="V2" s="1" cm="1">
        <f t="array" ref="V2:V73">Predictions!H4:H75</f>
        <v>1</v>
      </c>
      <c r="W2" s="1" cm="1">
        <f t="array" ref="W2:W73">IF(Predictions!J4:J75=0,"",Predictions!J4:J75)</f>
        <v>1</v>
      </c>
      <c r="X2" s="1" cm="1">
        <f t="array" ref="X2:X73">IF(Predictions!L4:L75=0,"",Predictions!L4:L75)</f>
        <v>1</v>
      </c>
      <c r="Y2" s="1" cm="1">
        <f t="array" ref="Y2:Y73">IF(Predictions!N4:N75="","",Predictions!N4:N75)</f>
        <v>1</v>
      </c>
      <c r="Z2" s="1"/>
      <c r="AB2" s="1"/>
      <c r="AD2" s="1"/>
      <c r="AF2" s="1"/>
      <c r="AH2" s="1"/>
      <c r="AJ2" s="1"/>
      <c r="AL2" s="1"/>
      <c r="AN2" s="1"/>
      <c r="AP2" s="1"/>
      <c r="AR2" s="1"/>
      <c r="AT2" s="1"/>
      <c r="AU2" s="1"/>
      <c r="AV2" s="1" t="str" cm="1">
        <f t="array" ref="AV2:AV73">IF(Predictions!P4:P75="","",Predictions!P4:P75)</f>
        <v/>
      </c>
      <c r="AW2" s="1" t="str" cm="1">
        <f t="array" ref="AW2:AW26">IF(Predictions!Q4:Q28="","",Predictions!Q4:Q28)</f>
        <v/>
      </c>
      <c r="AX2" s="1" t="str" cm="1">
        <f t="array" ref="AX2:AX73">IF(Predictions!R4:R75="","",Predictions!R4:R75)</f>
        <v/>
      </c>
      <c r="AY2" s="1" t="str" cm="1">
        <f t="array" ref="AY2:AY73">IF(Predictions!S4:S75="","",Predictions!S4:S75)</f>
        <v/>
      </c>
      <c r="AZ2" s="1" t="str" cm="1">
        <f t="array" ref="AZ2:AZ73">IF(Predictions!T4:T75="","",Predictions!T4:T75)</f>
        <v/>
      </c>
      <c r="BA2" s="1" t="str" cm="1">
        <f t="array" ref="BA2:BA73">IF(Predictions!U4:U75="","",Predictions!U4:U75)</f>
        <v/>
      </c>
      <c r="BB2" s="1" t="str" cm="1">
        <f t="array" ref="BB2:BB73">IF(Predictions!V4:V75="","",Predictions!V4:V75)</f>
        <v/>
      </c>
      <c r="BC2" s="1" t="str" cm="1">
        <f t="array" ref="BC2:BC73">IF(Predictions!W4:W75="","",Predictions!W4:W75)</f>
        <v/>
      </c>
      <c r="BD2" s="1" t="str" cm="1">
        <f t="array" ref="BD2:BD73">IF(Predictions!X4:X75="","",Predictions!X4:X75)</f>
        <v/>
      </c>
      <c r="BE2" s="1" t="str" cm="1">
        <f t="array" ref="BE2:BE73">IF(Predictions!Y4:Y75="","",Predictions!Y4:Y75)</f>
        <v/>
      </c>
      <c r="BF2" s="1" t="str" cm="1">
        <f t="array" ref="BF2:BF73">IF(Predictions!Z4:Z75="","",Predictions!Z4:Z75)</f>
        <v/>
      </c>
      <c r="BG2" s="1" t="str" cm="1">
        <f t="array" ref="BG2:BG73">IF(Predictions!AA4:AA75="","",Predictions!AA4:AA75)</f>
        <v/>
      </c>
      <c r="BH2" s="1" t="str" cm="1">
        <f t="array" ref="BH2:BH73">IF(Predictions!AB4:AB75="","",Predictions!AB4:AB75)</f>
        <v/>
      </c>
      <c r="BI2" s="1" t="str" cm="1">
        <f t="array" ref="BI2:BI73">IF(Predictions!AC4:AC75="","",Predictions!AC4:AC75)</f>
        <v/>
      </c>
      <c r="BJ2" s="1" t="str" cm="1">
        <f t="array" ref="BJ2:BJ73">IF(Predictions!AD4:AD75="","",Predictions!AD4:AD75)</f>
        <v/>
      </c>
      <c r="BK2" s="1" t="str" cm="1">
        <f t="array" ref="BK2:BK73">IF(Predictions!AE4:AE75="","",Predictions!AE4:AE75)</f>
        <v/>
      </c>
      <c r="BL2" s="1" t="str" cm="1">
        <f t="array" ref="BL2:BL73">IF(Predictions!AF4:AF75="","",Predictions!AF4:AF75)</f>
        <v/>
      </c>
      <c r="BM2" s="1" t="str" cm="1">
        <f t="array" ref="BM2:BM73">IF(Predictions!AG4:AG75="","",Predictions!AG4:AG75)</f>
        <v/>
      </c>
    </row>
    <row r="3" spans="1:65" x14ac:dyDescent="0.25">
      <c r="A3" t="str">
        <f>IF(Leaderboard!C3="","",Leaderboard!C3)</f>
        <v>Aaron Twiss</v>
      </c>
      <c r="B3">
        <f>COUNT('Master Score'!$G$2:$G$73)+COUNTIF('Master Score'!$G$2:$G$73,"X")</f>
        <v>3</v>
      </c>
      <c r="C3">
        <f>Leaderboard!F3</f>
        <v>2</v>
      </c>
      <c r="D3" s="21">
        <f>IFERROR(C3/B3,0)</f>
        <v>0.66666666666666663</v>
      </c>
      <c r="E3" s="22">
        <f>IFERROR(C3/B3,0)</f>
        <v>0.66666666666666663</v>
      </c>
      <c r="F3" s="22" cm="1">
        <f t="array" ref="F3">IF(A3="","",IFERROR(_xlfn.STDEV.P(IF(Predictions!H$4:H$75&lt;&gt;"",IF(Predictions!H$4:H$75='Master Score'!$G$2:$G$73,1,0))),0))</f>
        <v>0.16433554953054488</v>
      </c>
      <c r="G3" s="22">
        <f t="shared" si="0"/>
        <v>2.7006172839506171E-2</v>
      </c>
      <c r="H3" s="22" cm="1">
        <f t="array" ref="H3">IF(A3="","",IFERROR((D3/(1+G3))/SUMPRODUCT(($A$2:$A$20&lt;&gt;"")*($D$2:$D$20/(1+$G$2:$G$20))),0))</f>
        <v>0.19999999999999998</v>
      </c>
      <c r="I3" s="22" cm="1">
        <f t="array" ref="I3">IF(A3="","",IFERROR((D3-AVERAGEIF($A$2:$A$20,"&lt;&gt;",$D$2:$D$20))/_xlfn.STDEV.P(IF($A$2:$A$20&lt;&gt;"",$D$2:$D$20)),0))</f>
        <v>0</v>
      </c>
      <c r="J3" s="22">
        <f t="shared" ref="J3:J6" si="4">IF(A3="","",ROUND((L3*25)+((1-D3)*30)+(G3*25)+((1-MIN(1,MAX(0,(I3+2)/4)))*20),1))</f>
        <v>33.9</v>
      </c>
      <c r="K3" s="22">
        <f t="shared" ref="K3:K6" si="5">IF(A3="","",IFERROR(D3*100*(1-F3),0))</f>
        <v>55.710963364630338</v>
      </c>
      <c r="L3" s="22" cm="1">
        <f t="array" ref="L3">IF(A3="","",IFERROR(SUMPRODUCT((V$2:V$73&lt;&gt;"")*1*(V$2:V$73&lt;&gt;_xlfn.MODE.SNGL(U$2:Y$73)))/COUNTA(V$2:V$73),0))</f>
        <v>0.52777777777777779</v>
      </c>
      <c r="M3" s="26">
        <v>46185</v>
      </c>
      <c r="N3" s="27" t="s">
        <v>6</v>
      </c>
      <c r="O3" s="28" t="s">
        <v>9</v>
      </c>
      <c r="P3" s="28" t="s">
        <v>10</v>
      </c>
      <c r="Q3" s="56">
        <f t="shared" si="1"/>
        <v>0.6</v>
      </c>
      <c r="R3" s="56">
        <f t="shared" si="2"/>
        <v>0</v>
      </c>
      <c r="S3" s="56">
        <f t="shared" si="3"/>
        <v>0.4</v>
      </c>
      <c r="T3" s="113">
        <f>IF(_xlfn.XLOOKUP(MAX(Q3:S3),Q3:S3,$Q$1:$S$1)='Master Score'!G3,1,0)</f>
        <v>1</v>
      </c>
      <c r="U3" s="57">
        <v>1</v>
      </c>
      <c r="V3" s="1" t="str">
        <v>X</v>
      </c>
      <c r="W3" s="1">
        <v>1</v>
      </c>
      <c r="X3" s="1" t="str">
        <v>X</v>
      </c>
      <c r="Y3" s="1">
        <v>1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</row>
    <row r="4" spans="1:65" x14ac:dyDescent="0.25">
      <c r="A4" t="str">
        <f>IF(Leaderboard!C4="","",Leaderboard!C4)</f>
        <v>Arion Aliu</v>
      </c>
      <c r="B4">
        <f>COUNT('Master Score'!$G$2:$G$73)+COUNTIF('Master Score'!$G$2:$G$73,"X")</f>
        <v>3</v>
      </c>
      <c r="C4">
        <f>Leaderboard!F4</f>
        <v>2</v>
      </c>
      <c r="D4" s="21">
        <f>IFERROR(C4/B4,0)</f>
        <v>0.66666666666666663</v>
      </c>
      <c r="E4" s="22">
        <f>IFERROR(C4/B4,0)</f>
        <v>0.66666666666666663</v>
      </c>
      <c r="F4" s="22" cm="1">
        <f t="array" ref="F4">IF(A4="","",IFERROR(_xlfn.STDEV.P(IF(Predictions!J$4:J$75&lt;&gt;"",IF(Predictions!J$4:J$75='Master Score'!$G$2:$G$73,1,0))),0))</f>
        <v>0.16433554953054488</v>
      </c>
      <c r="G4" s="22">
        <f t="shared" si="0"/>
        <v>2.7006172839506171E-2</v>
      </c>
      <c r="H4" s="22" cm="1">
        <f t="array" ref="H4">IF(A4="","",IFERROR((D4/(1+G4))/SUMPRODUCT(($A$2:$A$20&lt;&gt;"")*($D$2:$D$20/(1+$G$2:$G$20))),0))</f>
        <v>0.19999999999999998</v>
      </c>
      <c r="I4" s="22" cm="1">
        <f t="array" ref="I4">IF(A4="","",IFERROR((D4-AVERAGEIF($A$2:$A$20,"&lt;&gt;",$D$2:$D$20))/_xlfn.STDEV.P(IF($A$2:$A$20&lt;&gt;"",$D$2:$D$20)),0))</f>
        <v>0</v>
      </c>
      <c r="J4" s="22">
        <f t="shared" si="4"/>
        <v>32.799999999999997</v>
      </c>
      <c r="K4" s="22">
        <f t="shared" si="5"/>
        <v>55.710963364630338</v>
      </c>
      <c r="L4" s="22" cm="1">
        <f t="array" ref="L4">IF(A4="","",IFERROR(SUMPRODUCT((W$2:W$73&lt;&gt;"")*1*(W$2:W$73&lt;&gt;_xlfn.MODE.SNGL(U$2:Y$73)))/COUNTA(W$2:W$73),0))</f>
        <v>0.4861111111111111</v>
      </c>
      <c r="M4" s="29">
        <v>46185</v>
      </c>
      <c r="N4" s="30" t="s">
        <v>11</v>
      </c>
      <c r="O4" s="31" t="s">
        <v>12</v>
      </c>
      <c r="P4" s="31" t="s">
        <v>13</v>
      </c>
      <c r="Q4" s="56">
        <f t="shared" si="1"/>
        <v>0.4</v>
      </c>
      <c r="R4" s="56">
        <f t="shared" si="2"/>
        <v>0.2</v>
      </c>
      <c r="S4" s="56">
        <f t="shared" si="3"/>
        <v>0.4</v>
      </c>
      <c r="T4" s="113">
        <f>IF(_xlfn.XLOOKUP(MAX(Q4:S4),Q4:S4,$Q$1:$S$1)='Master Score'!G4,1,0)</f>
        <v>0</v>
      </c>
      <c r="U4" s="57">
        <v>1</v>
      </c>
      <c r="V4" s="1" t="str">
        <v>X</v>
      </c>
      <c r="W4" s="1">
        <v>2</v>
      </c>
      <c r="X4" s="1" t="str">
        <v>X</v>
      </c>
      <c r="Y4" s="1">
        <v>1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</row>
    <row r="5" spans="1:65" x14ac:dyDescent="0.25">
      <c r="A5" t="str">
        <f>IF(Leaderboard!C5="","",Leaderboard!C5)</f>
        <v>Rayan Zaibag</v>
      </c>
      <c r="B5">
        <f>COUNT('Master Score'!$G$2:$G$73)+COUNTIF('Master Score'!$G$2:$G$73,"X")</f>
        <v>3</v>
      </c>
      <c r="C5">
        <f>Leaderboard!F5</f>
        <v>2</v>
      </c>
      <c r="D5" s="21">
        <f t="shared" ref="D5:D6" si="6">IFERROR(C5/B5,0)</f>
        <v>0.66666666666666663</v>
      </c>
      <c r="E5" s="22">
        <f t="shared" ref="E5:E6" si="7">IFERROR(C5/B5,0)</f>
        <v>0.66666666666666663</v>
      </c>
      <c r="F5" s="22" cm="1">
        <f t="array" ref="F5">IF(A5="","",IFERROR(_xlfn.STDEV.P(IF(Predictions!L$4:L$75&lt;&gt;"",IF(Predictions!L$4:L$75='Master Score'!$G$2:$G$73,1,0))),0))</f>
        <v>0.16433554953054488</v>
      </c>
      <c r="G5" s="22">
        <f t="shared" si="0"/>
        <v>2.7006172839506171E-2</v>
      </c>
      <c r="H5" s="22" cm="1">
        <f t="array" ref="H5">IF(A5="","",IFERROR((D5/(1+G5))/SUMPRODUCT(($A$2:$A$20&lt;&gt;"")*($D$2:$D$20/(1+$G$2:$G$20))),0))</f>
        <v>0.19999999999999998</v>
      </c>
      <c r="I5" s="22" cm="1">
        <f t="array" ref="I5">IF(A5="","",IFERROR((D5-AVERAGEIF($A$2:$A$20,"&lt;&gt;",$D$2:$D$20))/_xlfn.STDEV.P(IF($A$2:$A$20&lt;&gt;"",$D$2:$D$20)),0))</f>
        <v>0</v>
      </c>
      <c r="J5" s="22">
        <f t="shared" si="4"/>
        <v>32.5</v>
      </c>
      <c r="K5" s="22">
        <f t="shared" si="5"/>
        <v>55.710963364630338</v>
      </c>
      <c r="L5" s="22" cm="1">
        <f t="array" ref="L5">IF(A5="","",IFERROR(SUMPRODUCT((X$2:X$73&lt;&gt;"")*1*(X$2:X$73&lt;&gt;_xlfn.MODE.SNGL(U$2:Y$73)))/COUNTA(X$2:X$73),0))</f>
        <v>0.47222222222222221</v>
      </c>
      <c r="M5" s="26">
        <v>46186</v>
      </c>
      <c r="N5" s="32" t="s">
        <v>21</v>
      </c>
      <c r="O5" s="28" t="s">
        <v>22</v>
      </c>
      <c r="P5" s="28" t="s">
        <v>23</v>
      </c>
      <c r="Q5" s="56">
        <f t="shared" si="1"/>
        <v>0.8</v>
      </c>
      <c r="R5" s="56">
        <f t="shared" si="2"/>
        <v>0.2</v>
      </c>
      <c r="S5" s="56">
        <f t="shared" si="3"/>
        <v>0</v>
      </c>
      <c r="T5" s="113">
        <f>IF(_xlfn.XLOOKUP(MAX(Q5:S5),Q5:S5,$Q$1:$S$1)='Master Score'!G5,1,0)</f>
        <v>0</v>
      </c>
      <c r="U5" s="57">
        <v>1</v>
      </c>
      <c r="V5" s="1">
        <v>2</v>
      </c>
      <c r="W5" s="1">
        <v>1</v>
      </c>
      <c r="X5" s="1">
        <v>1</v>
      </c>
      <c r="Y5" s="1">
        <v>1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</row>
    <row r="6" spans="1:65" x14ac:dyDescent="0.25">
      <c r="A6" t="str">
        <f>IF(Leaderboard!C6="","",Leaderboard!C6)</f>
        <v>Jorge Lopez</v>
      </c>
      <c r="B6">
        <f>COUNT('Master Score'!$G$2:$G$73)+COUNTIF('Master Score'!$G$2:$G$73,"X")</f>
        <v>3</v>
      </c>
      <c r="C6">
        <f>Leaderboard!F6</f>
        <v>2</v>
      </c>
      <c r="D6" s="21">
        <f t="shared" si="6"/>
        <v>0.66666666666666663</v>
      </c>
      <c r="E6" s="22">
        <f t="shared" si="7"/>
        <v>0.66666666666666663</v>
      </c>
      <c r="F6" s="22" cm="1">
        <f t="array" ref="F6">IF(A6="","",IFERROR(_xlfn.STDEV.P(IF(Predictions!N$4:N$75&lt;&gt;"",IF(Predictions!N$4:N$75='Master Score'!$G$2:$G$73,1,0))),0))</f>
        <v>0.16433554953054488</v>
      </c>
      <c r="G6" s="22">
        <f t="shared" si="0"/>
        <v>2.7006172839506171E-2</v>
      </c>
      <c r="H6" s="22" cm="1">
        <f t="array" ref="H6">IF(A6="","",IFERROR((D6/(1+G6))/SUMPRODUCT(($A$2:$A$20&lt;&gt;"")*($D$2:$D$20/(1+$G$2:$G$20))),0))</f>
        <v>0.19999999999999998</v>
      </c>
      <c r="I6" s="22" cm="1">
        <f t="array" ref="I6">IF(A6="","",IFERROR((D6-AVERAGEIF($A$2:$A$20,"&lt;&gt;",$D$2:$D$20))/_xlfn.STDEV.P(IF($A$2:$A$20&lt;&gt;"",$D$2:$D$20)),0))</f>
        <v>0</v>
      </c>
      <c r="J6" s="22">
        <f t="shared" si="4"/>
        <v>31.8</v>
      </c>
      <c r="K6" s="22">
        <f t="shared" si="5"/>
        <v>55.710963364630338</v>
      </c>
      <c r="L6" s="22" cm="1">
        <f t="array" ref="L6">IF(A6="","",IFERROR(SUMPRODUCT((Y$2:Y$73&lt;&gt;"")*1*(Y$2:Y$73&lt;&gt;_xlfn.MODE.SNGL(U$2:Y$73)))/COUNTA(Y$2:Y$73),0))</f>
        <v>0.44444444444444442</v>
      </c>
      <c r="M6" s="26">
        <v>46186</v>
      </c>
      <c r="N6" s="33" t="s">
        <v>11</v>
      </c>
      <c r="O6" s="28" t="s">
        <v>14</v>
      </c>
      <c r="P6" s="28" t="s">
        <v>15</v>
      </c>
      <c r="Q6" s="56">
        <f t="shared" si="1"/>
        <v>0</v>
      </c>
      <c r="R6" s="56">
        <f t="shared" si="2"/>
        <v>1</v>
      </c>
      <c r="S6" s="56">
        <f t="shared" si="3"/>
        <v>0</v>
      </c>
      <c r="T6" s="113">
        <f>IF(_xlfn.XLOOKUP(MAX(Q6:S6),Q6:S6,$Q$1:$S$1)='Master Score'!G6,1,0)</f>
        <v>0</v>
      </c>
      <c r="U6" s="57">
        <v>2</v>
      </c>
      <c r="V6" s="1">
        <v>2</v>
      </c>
      <c r="W6" s="1">
        <v>2</v>
      </c>
      <c r="X6" s="1">
        <v>2</v>
      </c>
      <c r="Y6" s="1">
        <v>2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</row>
    <row r="7" spans="1:65" x14ac:dyDescent="0.25">
      <c r="D7" s="21"/>
      <c r="E7" s="22"/>
      <c r="F7" s="22"/>
      <c r="G7" s="22"/>
      <c r="H7" s="22"/>
      <c r="I7" s="22"/>
      <c r="J7" s="22"/>
      <c r="K7" s="22"/>
      <c r="L7" s="22"/>
      <c r="M7" s="29">
        <v>46186</v>
      </c>
      <c r="N7" s="34" t="s">
        <v>16</v>
      </c>
      <c r="O7" s="31" t="s">
        <v>17</v>
      </c>
      <c r="P7" s="31" t="s">
        <v>18</v>
      </c>
      <c r="Q7" s="56">
        <f t="shared" si="1"/>
        <v>0.8</v>
      </c>
      <c r="R7" s="56">
        <f t="shared" si="2"/>
        <v>0.2</v>
      </c>
      <c r="S7" s="56">
        <f t="shared" si="3"/>
        <v>0</v>
      </c>
      <c r="T7" s="113">
        <f>IF(_xlfn.XLOOKUP(MAX(Q7:S7),Q7:S7,$Q$1:$S$1)='Master Score'!G7,1,0)</f>
        <v>0</v>
      </c>
      <c r="U7" s="57">
        <v>1</v>
      </c>
      <c r="V7" s="1">
        <v>2</v>
      </c>
      <c r="W7" s="1">
        <v>1</v>
      </c>
      <c r="X7" s="1">
        <v>1</v>
      </c>
      <c r="Y7" s="1">
        <v>1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</row>
    <row r="8" spans="1:65" x14ac:dyDescent="0.25">
      <c r="D8" s="21"/>
      <c r="E8" s="22"/>
      <c r="F8" s="22"/>
      <c r="G8" s="22"/>
      <c r="H8" s="22"/>
      <c r="I8" s="22"/>
      <c r="J8" s="22"/>
      <c r="K8" s="22"/>
      <c r="L8" s="22"/>
      <c r="M8" s="26">
        <v>46187</v>
      </c>
      <c r="N8" s="35" t="s">
        <v>16</v>
      </c>
      <c r="O8" s="28" t="s">
        <v>19</v>
      </c>
      <c r="P8" s="28" t="s">
        <v>20</v>
      </c>
      <c r="Q8" s="56">
        <f t="shared" si="1"/>
        <v>0</v>
      </c>
      <c r="R8" s="56">
        <f t="shared" si="2"/>
        <v>1</v>
      </c>
      <c r="S8" s="56">
        <f t="shared" si="3"/>
        <v>0</v>
      </c>
      <c r="T8" s="113">
        <f>IF(_xlfn.XLOOKUP(MAX(Q8:S8),Q8:S8,$Q$1:$S$1)='Master Score'!G8,1,0)</f>
        <v>0</v>
      </c>
      <c r="U8" s="57">
        <v>2</v>
      </c>
      <c r="V8" s="1">
        <v>2</v>
      </c>
      <c r="W8" s="1">
        <v>2</v>
      </c>
      <c r="X8" s="1">
        <v>2</v>
      </c>
      <c r="Y8" s="1">
        <v>2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</row>
    <row r="9" spans="1:65" x14ac:dyDescent="0.25">
      <c r="D9" s="21"/>
      <c r="E9" s="22"/>
      <c r="F9" s="22"/>
      <c r="G9" s="22"/>
      <c r="H9" s="22"/>
      <c r="I9" s="22"/>
      <c r="J9" s="22"/>
      <c r="K9" s="22"/>
      <c r="L9" s="22"/>
      <c r="M9" s="26">
        <v>46187</v>
      </c>
      <c r="N9" s="32" t="s">
        <v>21</v>
      </c>
      <c r="O9" s="28" t="s">
        <v>24</v>
      </c>
      <c r="P9" s="28" t="s">
        <v>25</v>
      </c>
      <c r="Q9" s="56">
        <f t="shared" si="1"/>
        <v>0</v>
      </c>
      <c r="R9" s="56">
        <f t="shared" si="2"/>
        <v>1</v>
      </c>
      <c r="S9" s="56">
        <f t="shared" si="3"/>
        <v>0</v>
      </c>
      <c r="T9" s="113">
        <f>IF(_xlfn.XLOOKUP(MAX(Q9:S9),Q9:S9,$Q$1:$S$1)='Master Score'!G9,1,0)</f>
        <v>0</v>
      </c>
      <c r="U9" s="57">
        <v>2</v>
      </c>
      <c r="V9" s="1">
        <v>2</v>
      </c>
      <c r="W9" s="1">
        <v>2</v>
      </c>
      <c r="X9" s="1">
        <v>2</v>
      </c>
      <c r="Y9" s="1">
        <v>2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</row>
    <row r="10" spans="1:65" x14ac:dyDescent="0.25">
      <c r="D10" s="21"/>
      <c r="E10" s="22"/>
      <c r="F10" s="22"/>
      <c r="G10" s="22"/>
      <c r="H10" s="22"/>
      <c r="I10" s="22"/>
      <c r="J10" s="22"/>
      <c r="K10" s="22"/>
      <c r="L10" s="22"/>
      <c r="M10" s="26">
        <v>46187</v>
      </c>
      <c r="N10" s="36" t="s">
        <v>26</v>
      </c>
      <c r="O10" s="28" t="s">
        <v>27</v>
      </c>
      <c r="P10" s="28" t="s">
        <v>28</v>
      </c>
      <c r="Q10" s="56">
        <f t="shared" si="1"/>
        <v>1</v>
      </c>
      <c r="R10" s="56">
        <f t="shared" si="2"/>
        <v>0</v>
      </c>
      <c r="S10" s="56">
        <f t="shared" si="3"/>
        <v>0</v>
      </c>
      <c r="T10" s="113">
        <f>IF(_xlfn.XLOOKUP(MAX(Q10:S10),Q10:S10,$Q$1:$S$1)='Master Score'!G10,1,0)</f>
        <v>0</v>
      </c>
      <c r="U10" s="57">
        <v>1</v>
      </c>
      <c r="V10" s="1">
        <v>1</v>
      </c>
      <c r="W10" s="1">
        <v>1</v>
      </c>
      <c r="X10" s="1">
        <v>1</v>
      </c>
      <c r="Y10" s="1">
        <v>1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</row>
    <row r="11" spans="1:65" x14ac:dyDescent="0.25">
      <c r="D11" s="21"/>
      <c r="E11" s="22"/>
      <c r="F11" s="22"/>
      <c r="G11" s="22"/>
      <c r="H11" s="22"/>
      <c r="I11" s="22"/>
      <c r="J11" s="22"/>
      <c r="K11" s="22"/>
      <c r="L11" s="22"/>
      <c r="M11" s="29">
        <v>46187</v>
      </c>
      <c r="N11" s="37" t="s">
        <v>31</v>
      </c>
      <c r="O11" s="31" t="s">
        <v>32</v>
      </c>
      <c r="P11" s="31" t="s">
        <v>33</v>
      </c>
      <c r="Q11" s="56">
        <f t="shared" si="1"/>
        <v>0.4</v>
      </c>
      <c r="R11" s="56">
        <f t="shared" si="2"/>
        <v>0</v>
      </c>
      <c r="S11" s="56">
        <f t="shared" si="3"/>
        <v>0.6</v>
      </c>
      <c r="T11" s="113">
        <f>IF(_xlfn.XLOOKUP(MAX(Q11:S11),Q11:S11,$Q$1:$S$1)='Master Score'!G11,1,0)</f>
        <v>0</v>
      </c>
      <c r="U11" s="57" t="str">
        <v>X</v>
      </c>
      <c r="V11" s="1">
        <v>1</v>
      </c>
      <c r="W11" s="1">
        <v>1</v>
      </c>
      <c r="X11" s="1" t="str">
        <v>X</v>
      </c>
      <c r="Y11" s="1" t="str">
        <v>X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</row>
    <row r="12" spans="1:65" x14ac:dyDescent="0.25">
      <c r="D12" s="21"/>
      <c r="E12" s="22"/>
      <c r="F12" s="22"/>
      <c r="G12" s="22"/>
      <c r="H12" s="22"/>
      <c r="I12" s="22"/>
      <c r="J12" s="22"/>
      <c r="K12" s="22"/>
      <c r="L12" s="22"/>
      <c r="M12" s="26">
        <v>46188</v>
      </c>
      <c r="N12" s="36" t="s">
        <v>26</v>
      </c>
      <c r="O12" s="28" t="s">
        <v>29</v>
      </c>
      <c r="P12" s="28" t="s">
        <v>30</v>
      </c>
      <c r="Q12" s="56">
        <f t="shared" si="1"/>
        <v>0.4</v>
      </c>
      <c r="R12" s="56">
        <f t="shared" si="2"/>
        <v>0.2</v>
      </c>
      <c r="S12" s="56">
        <f t="shared" si="3"/>
        <v>0.4</v>
      </c>
      <c r="T12" s="113">
        <f>IF(_xlfn.XLOOKUP(MAX(Q12:S12),Q12:S12,$Q$1:$S$1)='Master Score'!G12,1,0)</f>
        <v>0</v>
      </c>
      <c r="U12" s="57">
        <v>1</v>
      </c>
      <c r="V12" s="1" t="str">
        <v>X</v>
      </c>
      <c r="W12" s="1">
        <v>1</v>
      </c>
      <c r="X12" s="1" t="str">
        <v>X</v>
      </c>
      <c r="Y12" s="1">
        <v>2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</row>
    <row r="13" spans="1:65" x14ac:dyDescent="0.25">
      <c r="D13" s="21"/>
      <c r="E13" s="22"/>
      <c r="F13" s="22"/>
      <c r="G13" s="22"/>
      <c r="H13" s="22"/>
      <c r="I13" s="22"/>
      <c r="J13" s="22"/>
      <c r="K13" s="22"/>
      <c r="L13" s="22"/>
      <c r="M13" s="26">
        <v>46188</v>
      </c>
      <c r="N13" s="38" t="s">
        <v>31</v>
      </c>
      <c r="O13" s="28" t="s">
        <v>34</v>
      </c>
      <c r="P13" s="28" t="s">
        <v>35</v>
      </c>
      <c r="Q13" s="56">
        <f t="shared" si="1"/>
        <v>0.6</v>
      </c>
      <c r="R13" s="56">
        <f t="shared" si="2"/>
        <v>0.2</v>
      </c>
      <c r="S13" s="56">
        <f t="shared" si="3"/>
        <v>0.2</v>
      </c>
      <c r="T13" s="113">
        <f>IF(_xlfn.XLOOKUP(MAX(Q13:S13),Q13:S13,$Q$1:$S$1)='Master Score'!G13,1,0)</f>
        <v>0</v>
      </c>
      <c r="U13" s="57">
        <v>1</v>
      </c>
      <c r="V13" s="1" t="str">
        <v>X</v>
      </c>
      <c r="W13" s="1">
        <v>1</v>
      </c>
      <c r="X13" s="1">
        <v>1</v>
      </c>
      <c r="Y13" s="1">
        <v>2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</row>
    <row r="14" spans="1:65" x14ac:dyDescent="0.25">
      <c r="D14" s="21"/>
      <c r="E14" s="22"/>
      <c r="F14" s="22"/>
      <c r="G14" s="22"/>
      <c r="H14" s="22"/>
      <c r="I14" s="22"/>
      <c r="J14" s="22"/>
      <c r="K14" s="22"/>
      <c r="L14" s="22"/>
      <c r="M14" s="26">
        <v>46188</v>
      </c>
      <c r="N14" s="39" t="s">
        <v>36</v>
      </c>
      <c r="O14" s="28" t="s">
        <v>37</v>
      </c>
      <c r="P14" s="28" t="s">
        <v>38</v>
      </c>
      <c r="Q14" s="56">
        <f t="shared" si="1"/>
        <v>1</v>
      </c>
      <c r="R14" s="56">
        <f t="shared" si="2"/>
        <v>0</v>
      </c>
      <c r="S14" s="56">
        <f t="shared" si="3"/>
        <v>0</v>
      </c>
      <c r="T14" s="113">
        <f>IF(_xlfn.XLOOKUP(MAX(Q14:S14),Q14:S14,$Q$1:$S$1)='Master Score'!G14,1,0)</f>
        <v>0</v>
      </c>
      <c r="U14" s="57">
        <v>1</v>
      </c>
      <c r="V14" s="1">
        <v>1</v>
      </c>
      <c r="W14" s="1">
        <v>1</v>
      </c>
      <c r="X14" s="1">
        <v>1</v>
      </c>
      <c r="Y14" s="1">
        <v>1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</row>
    <row r="15" spans="1:65" x14ac:dyDescent="0.25">
      <c r="D15" s="21"/>
      <c r="E15" s="22"/>
      <c r="F15" s="22"/>
      <c r="G15" s="22"/>
      <c r="H15" s="22"/>
      <c r="I15" s="22"/>
      <c r="J15" s="22"/>
      <c r="K15" s="22"/>
      <c r="L15" s="22"/>
      <c r="M15" s="26">
        <v>46188</v>
      </c>
      <c r="N15" s="40" t="s">
        <v>41</v>
      </c>
      <c r="O15" s="28" t="s">
        <v>42</v>
      </c>
      <c r="P15" s="28" t="s">
        <v>43</v>
      </c>
      <c r="Q15" s="56">
        <f t="shared" si="1"/>
        <v>1</v>
      </c>
      <c r="R15" s="56">
        <f t="shared" si="2"/>
        <v>0</v>
      </c>
      <c r="S15" s="56">
        <f t="shared" si="3"/>
        <v>0</v>
      </c>
      <c r="T15" s="113">
        <f>IF(_xlfn.XLOOKUP(MAX(Q15:S15),Q15:S15,$Q$1:$S$1)='Master Score'!G15,1,0)</f>
        <v>0</v>
      </c>
      <c r="U15" s="57">
        <v>1</v>
      </c>
      <c r="V15" s="1">
        <v>1</v>
      </c>
      <c r="W15" s="1">
        <v>1</v>
      </c>
      <c r="X15" s="1">
        <v>1</v>
      </c>
      <c r="Y15" s="1">
        <v>1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</row>
    <row r="16" spans="1:65" x14ac:dyDescent="0.25">
      <c r="D16" s="21"/>
      <c r="E16" s="22"/>
      <c r="F16" s="22"/>
      <c r="G16" s="22"/>
      <c r="H16" s="22"/>
      <c r="I16" s="22"/>
      <c r="J16" s="22"/>
      <c r="K16" s="22"/>
      <c r="L16" s="22"/>
      <c r="M16" s="29">
        <v>46188</v>
      </c>
      <c r="N16" s="41" t="s">
        <v>41</v>
      </c>
      <c r="O16" s="31" t="s">
        <v>44</v>
      </c>
      <c r="P16" s="31" t="s">
        <v>45</v>
      </c>
      <c r="Q16" s="56">
        <f t="shared" si="1"/>
        <v>0</v>
      </c>
      <c r="R16" s="56">
        <f t="shared" si="2"/>
        <v>1</v>
      </c>
      <c r="S16" s="56">
        <f t="shared" si="3"/>
        <v>0</v>
      </c>
      <c r="T16" s="113">
        <f>IF(_xlfn.XLOOKUP(MAX(Q16:S16),Q16:S16,$Q$1:$S$1)='Master Score'!G16,1,0)</f>
        <v>0</v>
      </c>
      <c r="U16" s="57">
        <v>2</v>
      </c>
      <c r="V16" s="1">
        <v>2</v>
      </c>
      <c r="W16" s="1">
        <v>2</v>
      </c>
      <c r="X16" s="1">
        <v>2</v>
      </c>
      <c r="Y16" s="1">
        <v>2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</row>
    <row r="17" spans="4:65" x14ac:dyDescent="0.25">
      <c r="D17" s="21"/>
      <c r="E17" s="22"/>
      <c r="F17" s="22"/>
      <c r="G17" s="22"/>
      <c r="H17" s="22"/>
      <c r="I17" s="22"/>
      <c r="J17" s="22"/>
      <c r="K17" s="22"/>
      <c r="L17" s="22"/>
      <c r="M17" s="26">
        <v>46189</v>
      </c>
      <c r="N17" s="39" t="s">
        <v>36</v>
      </c>
      <c r="O17" s="28" t="s">
        <v>39</v>
      </c>
      <c r="P17" s="28" t="s">
        <v>40</v>
      </c>
      <c r="Q17" s="56">
        <f t="shared" si="1"/>
        <v>0.6</v>
      </c>
      <c r="R17" s="56">
        <f t="shared" si="2"/>
        <v>0.2</v>
      </c>
      <c r="S17" s="56">
        <f t="shared" si="3"/>
        <v>0.2</v>
      </c>
      <c r="T17" s="113">
        <f>IF(_xlfn.XLOOKUP(MAX(Q17:S17),Q17:S17,$Q$1:$S$1)='Master Score'!G17,1,0)</f>
        <v>0</v>
      </c>
      <c r="U17" s="57" t="str">
        <v>X</v>
      </c>
      <c r="V17" s="1">
        <v>1</v>
      </c>
      <c r="W17" s="1">
        <v>2</v>
      </c>
      <c r="X17" s="1">
        <v>1</v>
      </c>
      <c r="Y17" s="1">
        <v>1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</row>
    <row r="18" spans="4:65" x14ac:dyDescent="0.25">
      <c r="D18" s="21"/>
      <c r="E18" s="22"/>
      <c r="F18" s="22"/>
      <c r="G18" s="22"/>
      <c r="H18" s="22"/>
      <c r="I18" s="22"/>
      <c r="J18" s="22"/>
      <c r="K18" s="22"/>
      <c r="L18" s="22"/>
      <c r="M18" s="26">
        <v>46189</v>
      </c>
      <c r="N18" s="42" t="s">
        <v>46</v>
      </c>
      <c r="O18" s="28" t="s">
        <v>47</v>
      </c>
      <c r="P18" s="28" t="s">
        <v>48</v>
      </c>
      <c r="Q18" s="56">
        <f t="shared" si="1"/>
        <v>1</v>
      </c>
      <c r="R18" s="56">
        <f t="shared" si="2"/>
        <v>0</v>
      </c>
      <c r="S18" s="56">
        <f t="shared" si="3"/>
        <v>0</v>
      </c>
      <c r="T18" s="113">
        <f>IF(_xlfn.XLOOKUP(MAX(Q18:S18),Q18:S18,$Q$1:$S$1)='Master Score'!G18,1,0)</f>
        <v>0</v>
      </c>
      <c r="U18" s="57">
        <v>1</v>
      </c>
      <c r="V18" s="1">
        <v>1</v>
      </c>
      <c r="W18" s="1">
        <v>1</v>
      </c>
      <c r="X18" s="1">
        <v>1</v>
      </c>
      <c r="Y18" s="1">
        <v>1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</row>
    <row r="19" spans="4:65" x14ac:dyDescent="0.25">
      <c r="D19" s="21"/>
      <c r="E19" s="22"/>
      <c r="F19" s="22"/>
      <c r="G19" s="22"/>
      <c r="H19" s="22"/>
      <c r="I19" s="22"/>
      <c r="J19" s="22"/>
      <c r="K19" s="22"/>
      <c r="L19" s="22"/>
      <c r="M19" s="29">
        <v>46189</v>
      </c>
      <c r="N19" s="43" t="s">
        <v>46</v>
      </c>
      <c r="O19" s="31" t="s">
        <v>49</v>
      </c>
      <c r="P19" s="31" t="s">
        <v>50</v>
      </c>
      <c r="Q19" s="56">
        <f t="shared" si="1"/>
        <v>0</v>
      </c>
      <c r="R19" s="56">
        <f t="shared" si="2"/>
        <v>1</v>
      </c>
      <c r="S19" s="56">
        <f t="shared" si="3"/>
        <v>0</v>
      </c>
      <c r="T19" s="113">
        <f>IF(_xlfn.XLOOKUP(MAX(Q19:S19),Q19:S19,$Q$1:$S$1)='Master Score'!G19,1,0)</f>
        <v>0</v>
      </c>
      <c r="U19" s="57">
        <v>2</v>
      </c>
      <c r="V19" s="1">
        <v>2</v>
      </c>
      <c r="W19" s="1">
        <v>2</v>
      </c>
      <c r="X19" s="1">
        <v>2</v>
      </c>
      <c r="Y19" s="1">
        <v>2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</row>
    <row r="20" spans="4:65" x14ac:dyDescent="0.25">
      <c r="D20" s="21"/>
      <c r="E20" s="22"/>
      <c r="F20" s="22"/>
      <c r="G20" s="22"/>
      <c r="H20" s="22"/>
      <c r="I20" s="22"/>
      <c r="J20" s="22"/>
      <c r="K20" s="22"/>
      <c r="L20" s="22"/>
      <c r="M20" s="26">
        <v>46190</v>
      </c>
      <c r="N20" s="44" t="s">
        <v>51</v>
      </c>
      <c r="O20" s="28" t="s">
        <v>52</v>
      </c>
      <c r="P20" s="28" t="s">
        <v>53</v>
      </c>
      <c r="Q20" s="56">
        <f t="shared" si="1"/>
        <v>1</v>
      </c>
      <c r="R20" s="56">
        <f t="shared" si="2"/>
        <v>0</v>
      </c>
      <c r="S20" s="56">
        <f t="shared" si="3"/>
        <v>0</v>
      </c>
      <c r="T20" s="113">
        <f>IF(_xlfn.XLOOKUP(MAX(Q20:S20),Q20:S20,$Q$1:$S$1)='Master Score'!G20,1,0)</f>
        <v>0</v>
      </c>
      <c r="U20" s="57">
        <v>1</v>
      </c>
      <c r="V20" s="1">
        <v>1</v>
      </c>
      <c r="W20" s="1">
        <v>1</v>
      </c>
      <c r="X20" s="1">
        <v>1</v>
      </c>
      <c r="Y20" s="1">
        <v>1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</row>
    <row r="21" spans="4:65" x14ac:dyDescent="0.25">
      <c r="M21" s="26">
        <v>46190</v>
      </c>
      <c r="N21" s="44" t="s">
        <v>51</v>
      </c>
      <c r="O21" s="28" t="s">
        <v>54</v>
      </c>
      <c r="P21" s="28" t="s">
        <v>55</v>
      </c>
      <c r="Q21" s="56">
        <f t="shared" si="1"/>
        <v>1</v>
      </c>
      <c r="R21" s="56">
        <f t="shared" si="2"/>
        <v>0</v>
      </c>
      <c r="S21" s="56">
        <f t="shared" si="3"/>
        <v>0</v>
      </c>
      <c r="T21" s="113">
        <f>IF(_xlfn.XLOOKUP(MAX(Q21:S21),Q21:S21,$Q$1:$S$1)='Master Score'!G21,1,0)</f>
        <v>0</v>
      </c>
      <c r="U21" s="57">
        <v>1</v>
      </c>
      <c r="V21" s="1">
        <v>1</v>
      </c>
      <c r="W21" s="1">
        <v>1</v>
      </c>
      <c r="X21" s="1">
        <v>1</v>
      </c>
      <c r="Y21" s="1">
        <v>1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</row>
    <row r="22" spans="4:65" x14ac:dyDescent="0.25">
      <c r="M22" s="26">
        <v>46190</v>
      </c>
      <c r="N22" s="45" t="s">
        <v>56</v>
      </c>
      <c r="O22" s="28" t="s">
        <v>57</v>
      </c>
      <c r="P22" s="28" t="s">
        <v>58</v>
      </c>
      <c r="Q22" s="56">
        <f t="shared" si="1"/>
        <v>1</v>
      </c>
      <c r="R22" s="56">
        <f t="shared" si="2"/>
        <v>0</v>
      </c>
      <c r="S22" s="56">
        <f t="shared" si="3"/>
        <v>0</v>
      </c>
      <c r="T22" s="113">
        <f>IF(_xlfn.XLOOKUP(MAX(Q22:S22),Q22:S22,$Q$1:$S$1)='Master Score'!G22,1,0)</f>
        <v>0</v>
      </c>
      <c r="U22" s="57">
        <v>1</v>
      </c>
      <c r="V22" s="1">
        <v>1</v>
      </c>
      <c r="W22" s="1">
        <v>1</v>
      </c>
      <c r="X22" s="1">
        <v>1</v>
      </c>
      <c r="Y22" s="1">
        <v>1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</row>
    <row r="23" spans="4:65" x14ac:dyDescent="0.25">
      <c r="M23" s="29">
        <v>46190</v>
      </c>
      <c r="N23" s="46" t="s">
        <v>61</v>
      </c>
      <c r="O23" s="31" t="s">
        <v>62</v>
      </c>
      <c r="P23" s="31" t="s">
        <v>63</v>
      </c>
      <c r="Q23" s="56">
        <f t="shared" si="1"/>
        <v>0.6</v>
      </c>
      <c r="R23" s="56">
        <f t="shared" si="2"/>
        <v>0</v>
      </c>
      <c r="S23" s="56">
        <f t="shared" si="3"/>
        <v>0.4</v>
      </c>
      <c r="T23" s="113">
        <f>IF(_xlfn.XLOOKUP(MAX(Q23:S23),Q23:S23,$Q$1:$S$1)='Master Score'!G23,1,0)</f>
        <v>0</v>
      </c>
      <c r="U23" s="57" t="str">
        <v>X</v>
      </c>
      <c r="V23" s="1">
        <v>1</v>
      </c>
      <c r="W23" s="1">
        <v>1</v>
      </c>
      <c r="X23" s="1" t="str">
        <v>X</v>
      </c>
      <c r="Y23" s="1">
        <v>1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</row>
    <row r="24" spans="4:65" x14ac:dyDescent="0.25">
      <c r="M24" s="26">
        <v>46191</v>
      </c>
      <c r="N24" s="45" t="s">
        <v>56</v>
      </c>
      <c r="O24" s="28" t="s">
        <v>59</v>
      </c>
      <c r="P24" s="28" t="s">
        <v>60</v>
      </c>
      <c r="Q24" s="56">
        <f t="shared" si="1"/>
        <v>0</v>
      </c>
      <c r="R24" s="56">
        <f t="shared" si="2"/>
        <v>1</v>
      </c>
      <c r="S24" s="56">
        <f t="shared" si="3"/>
        <v>0</v>
      </c>
      <c r="T24" s="113">
        <f>IF(_xlfn.XLOOKUP(MAX(Q24:S24),Q24:S24,$Q$1:$S$1)='Master Score'!G24,1,0)</f>
        <v>0</v>
      </c>
      <c r="U24" s="57">
        <v>2</v>
      </c>
      <c r="V24" s="1">
        <v>2</v>
      </c>
      <c r="W24" s="1">
        <v>2</v>
      </c>
      <c r="X24" s="1">
        <v>2</v>
      </c>
      <c r="Y24" s="1">
        <v>2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</row>
    <row r="25" spans="4:65" x14ac:dyDescent="0.25">
      <c r="M25" s="26">
        <v>46191</v>
      </c>
      <c r="N25" s="47" t="s">
        <v>61</v>
      </c>
      <c r="O25" s="28" t="s">
        <v>64</v>
      </c>
      <c r="P25" s="28" t="s">
        <v>65</v>
      </c>
      <c r="Q25" s="56">
        <f t="shared" si="1"/>
        <v>0.6</v>
      </c>
      <c r="R25" s="56">
        <f t="shared" si="2"/>
        <v>0</v>
      </c>
      <c r="S25" s="56">
        <f t="shared" si="3"/>
        <v>0.4</v>
      </c>
      <c r="T25" s="113">
        <f>IF(_xlfn.XLOOKUP(MAX(Q25:S25),Q25:S25,$Q$1:$S$1)='Master Score'!G25,1,0)</f>
        <v>0</v>
      </c>
      <c r="U25" s="57">
        <v>1</v>
      </c>
      <c r="V25" s="1">
        <v>1</v>
      </c>
      <c r="W25" s="1" t="str">
        <v>X</v>
      </c>
      <c r="X25" s="1" t="str">
        <v>X</v>
      </c>
      <c r="Y25" s="1">
        <v>1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</row>
    <row r="26" spans="4:65" x14ac:dyDescent="0.25">
      <c r="M26" s="26">
        <v>46191</v>
      </c>
      <c r="N26" s="27" t="s">
        <v>6</v>
      </c>
      <c r="O26" s="28" t="s">
        <v>10</v>
      </c>
      <c r="P26" s="28" t="s">
        <v>8</v>
      </c>
      <c r="Q26" s="56">
        <f t="shared" si="1"/>
        <v>0.8</v>
      </c>
      <c r="R26" s="56">
        <f t="shared" si="2"/>
        <v>0</v>
      </c>
      <c r="S26" s="56">
        <f t="shared" si="3"/>
        <v>0.2</v>
      </c>
      <c r="T26" s="113">
        <f>IF(_xlfn.XLOOKUP(MAX(Q26:S26),Q26:S26,$Q$1:$S$1)='Master Score'!G26,1,0)</f>
        <v>0</v>
      </c>
      <c r="U26" s="57" t="str">
        <v>X</v>
      </c>
      <c r="V26" s="1">
        <v>1</v>
      </c>
      <c r="W26" s="1">
        <v>1</v>
      </c>
      <c r="X26" s="1">
        <v>1</v>
      </c>
      <c r="Y26" s="1">
        <v>1</v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</row>
    <row r="27" spans="4:65" x14ac:dyDescent="0.25">
      <c r="M27" s="26">
        <v>46191</v>
      </c>
      <c r="N27" s="33" t="s">
        <v>11</v>
      </c>
      <c r="O27" s="28" t="s">
        <v>15</v>
      </c>
      <c r="P27" s="28" t="s">
        <v>13</v>
      </c>
      <c r="Q27" s="56">
        <f t="shared" si="1"/>
        <v>1</v>
      </c>
      <c r="R27" s="56">
        <f t="shared" si="2"/>
        <v>0</v>
      </c>
      <c r="S27" s="56">
        <f t="shared" si="3"/>
        <v>0</v>
      </c>
      <c r="T27" s="113">
        <f>IF(_xlfn.XLOOKUP(MAX(Q27:S27),Q27:S27,$Q$1:$S$1)='Master Score'!G27,1,0)</f>
        <v>0</v>
      </c>
      <c r="U27" s="57">
        <v>1</v>
      </c>
      <c r="V27" s="1">
        <v>1</v>
      </c>
      <c r="W27" s="1">
        <v>1</v>
      </c>
      <c r="X27" s="1">
        <v>1</v>
      </c>
      <c r="Y27" s="1">
        <v>1</v>
      </c>
      <c r="AV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</row>
    <row r="28" spans="4:65" x14ac:dyDescent="0.25">
      <c r="M28" s="29">
        <v>46191</v>
      </c>
      <c r="N28" s="30" t="s">
        <v>11</v>
      </c>
      <c r="O28" s="31" t="s">
        <v>12</v>
      </c>
      <c r="P28" s="31" t="s">
        <v>14</v>
      </c>
      <c r="Q28" s="56">
        <f t="shared" si="1"/>
        <v>1</v>
      </c>
      <c r="R28" s="56">
        <f t="shared" si="2"/>
        <v>0</v>
      </c>
      <c r="S28" s="56">
        <f t="shared" si="3"/>
        <v>0</v>
      </c>
      <c r="T28" s="113">
        <f>IF(_xlfn.XLOOKUP(MAX(Q28:S28),Q28:S28,$Q$1:$S$1)='Master Score'!G28,1,0)</f>
        <v>0</v>
      </c>
      <c r="U28" s="57">
        <v>1</v>
      </c>
      <c r="V28" s="1">
        <v>1</v>
      </c>
      <c r="W28" s="1">
        <v>1</v>
      </c>
      <c r="X28" s="1">
        <v>1</v>
      </c>
      <c r="Y28" s="1">
        <v>1</v>
      </c>
      <c r="AV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</row>
    <row r="29" spans="4:65" x14ac:dyDescent="0.25">
      <c r="M29" s="26">
        <v>46192</v>
      </c>
      <c r="N29" s="27" t="s">
        <v>6</v>
      </c>
      <c r="O29" s="28" t="s">
        <v>7</v>
      </c>
      <c r="P29" s="28" t="s">
        <v>9</v>
      </c>
      <c r="Q29" s="56">
        <f t="shared" si="1"/>
        <v>0.8</v>
      </c>
      <c r="R29" s="56">
        <f t="shared" si="2"/>
        <v>0</v>
      </c>
      <c r="S29" s="56">
        <f t="shared" si="3"/>
        <v>0.2</v>
      </c>
      <c r="T29" s="113">
        <f>IF(_xlfn.XLOOKUP(MAX(Q29:S29),Q29:S29,$Q$1:$S$1)='Master Score'!G29,1,0)</f>
        <v>0</v>
      </c>
      <c r="U29" s="57">
        <v>1</v>
      </c>
      <c r="V29" s="1">
        <v>1</v>
      </c>
      <c r="W29" s="1" t="str">
        <v>X</v>
      </c>
      <c r="X29" s="1">
        <v>1</v>
      </c>
      <c r="Y29" s="1">
        <v>1</v>
      </c>
      <c r="AV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</row>
    <row r="30" spans="4:65" x14ac:dyDescent="0.25">
      <c r="M30" s="26">
        <v>46192</v>
      </c>
      <c r="N30" s="35" t="s">
        <v>16</v>
      </c>
      <c r="O30" s="28" t="s">
        <v>20</v>
      </c>
      <c r="P30" s="28" t="s">
        <v>18</v>
      </c>
      <c r="Q30" s="56">
        <f t="shared" si="1"/>
        <v>0</v>
      </c>
      <c r="R30" s="56">
        <f t="shared" si="2"/>
        <v>0.8</v>
      </c>
      <c r="S30" s="56">
        <f t="shared" si="3"/>
        <v>0.2</v>
      </c>
      <c r="T30" s="113">
        <f>IF(_xlfn.XLOOKUP(MAX(Q30:S30),Q30:S30,$Q$1:$S$1)='Master Score'!G30,1,0)</f>
        <v>0</v>
      </c>
      <c r="U30" s="57" t="str">
        <v>X</v>
      </c>
      <c r="V30" s="1">
        <v>2</v>
      </c>
      <c r="W30" s="1">
        <v>2</v>
      </c>
      <c r="X30" s="1">
        <v>2</v>
      </c>
      <c r="Y30" s="1">
        <v>2</v>
      </c>
      <c r="AV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</row>
    <row r="31" spans="4:65" x14ac:dyDescent="0.25">
      <c r="M31" s="29">
        <v>46192</v>
      </c>
      <c r="N31" s="48" t="s">
        <v>21</v>
      </c>
      <c r="O31" s="31" t="s">
        <v>22</v>
      </c>
      <c r="P31" s="31" t="s">
        <v>24</v>
      </c>
      <c r="Q31" s="56">
        <f t="shared" si="1"/>
        <v>0.6</v>
      </c>
      <c r="R31" s="56">
        <f t="shared" si="2"/>
        <v>0</v>
      </c>
      <c r="S31" s="56">
        <f t="shared" si="3"/>
        <v>0.4</v>
      </c>
      <c r="T31" s="113">
        <f>IF(_xlfn.XLOOKUP(MAX(Q31:S31),Q31:S31,$Q$1:$S$1)='Master Score'!G31,1,0)</f>
        <v>0</v>
      </c>
      <c r="U31" s="57" t="str">
        <v>X</v>
      </c>
      <c r="V31" s="1">
        <v>1</v>
      </c>
      <c r="W31" s="1" t="str">
        <v>X</v>
      </c>
      <c r="X31" s="1">
        <v>1</v>
      </c>
      <c r="Y31" s="1">
        <v>1</v>
      </c>
      <c r="AV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</row>
    <row r="32" spans="4:65" x14ac:dyDescent="0.25">
      <c r="M32" s="26">
        <v>46193</v>
      </c>
      <c r="N32" s="35" t="s">
        <v>16</v>
      </c>
      <c r="O32" s="28" t="s">
        <v>17</v>
      </c>
      <c r="P32" s="28" t="s">
        <v>19</v>
      </c>
      <c r="Q32" s="56">
        <f t="shared" si="1"/>
        <v>1</v>
      </c>
      <c r="R32" s="56">
        <f t="shared" si="2"/>
        <v>0</v>
      </c>
      <c r="S32" s="56">
        <f t="shared" si="3"/>
        <v>0</v>
      </c>
      <c r="T32" s="113">
        <f>IF(_xlfn.XLOOKUP(MAX(Q32:S32),Q32:S32,$Q$1:$S$1)='Master Score'!G32,1,0)</f>
        <v>0</v>
      </c>
      <c r="U32" s="57">
        <v>1</v>
      </c>
      <c r="V32" s="1">
        <v>1</v>
      </c>
      <c r="W32" s="1">
        <v>1</v>
      </c>
      <c r="X32" s="1">
        <v>1</v>
      </c>
      <c r="Y32" s="1">
        <v>1</v>
      </c>
      <c r="AV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</row>
    <row r="33" spans="1:65" x14ac:dyDescent="0.25">
      <c r="M33" s="26">
        <v>46193</v>
      </c>
      <c r="N33" s="32" t="s">
        <v>21</v>
      </c>
      <c r="O33" s="28" t="s">
        <v>25</v>
      </c>
      <c r="P33" s="28" t="s">
        <v>23</v>
      </c>
      <c r="Q33" s="56">
        <f t="shared" si="1"/>
        <v>0.8</v>
      </c>
      <c r="R33" s="56">
        <f t="shared" si="2"/>
        <v>0</v>
      </c>
      <c r="S33" s="56">
        <f t="shared" si="3"/>
        <v>0.2</v>
      </c>
      <c r="T33" s="113">
        <f>IF(_xlfn.XLOOKUP(MAX(Q33:S33),Q33:S33,$Q$1:$S$1)='Master Score'!G33,1,0)</f>
        <v>0</v>
      </c>
      <c r="U33" s="57">
        <v>1</v>
      </c>
      <c r="V33" s="1" t="str">
        <v>X</v>
      </c>
      <c r="W33" s="1">
        <v>1</v>
      </c>
      <c r="X33" s="1">
        <v>1</v>
      </c>
      <c r="Y33" s="1">
        <v>1</v>
      </c>
      <c r="AV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</row>
    <row r="34" spans="1:65" x14ac:dyDescent="0.25">
      <c r="M34" s="26">
        <v>46193</v>
      </c>
      <c r="N34" s="36" t="s">
        <v>26</v>
      </c>
      <c r="O34" s="28" t="s">
        <v>27</v>
      </c>
      <c r="P34" s="28" t="s">
        <v>29</v>
      </c>
      <c r="Q34" s="56">
        <f t="shared" ref="Q34:Q65" si="8">IFERROR(COUNTIF(U34:Y34,1)/(COUNT(U34:Y34)+COUNTIF(U34:Y34,"X")),0)</f>
        <v>1</v>
      </c>
      <c r="R34" s="56">
        <f t="shared" ref="R34:R65" si="9">IFERROR(COUNTIF(U34:Y34,2)/(COUNT(U34:Y34)+COUNTIF(U34:Y34,"X")),0)</f>
        <v>0</v>
      </c>
      <c r="S34" s="56">
        <f t="shared" ref="S34:S65" si="10">IFERROR(COUNTIF(U34:Y34,"X")/(COUNT(U34:Y34)+COUNTIF(U34:Y34,"X")),0)</f>
        <v>0</v>
      </c>
      <c r="T34" s="113">
        <f>IF(_xlfn.XLOOKUP(MAX(Q34:S34),Q34:S34,$Q$1:$S$1)='Master Score'!G34,1,0)</f>
        <v>0</v>
      </c>
      <c r="U34" s="57">
        <v>1</v>
      </c>
      <c r="V34" s="1">
        <v>1</v>
      </c>
      <c r="W34" s="1">
        <v>1</v>
      </c>
      <c r="X34" s="1">
        <v>1</v>
      </c>
      <c r="Y34" s="1">
        <v>1</v>
      </c>
      <c r="AV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</row>
    <row r="35" spans="1:65" x14ac:dyDescent="0.25">
      <c r="M35" s="29">
        <v>46193</v>
      </c>
      <c r="N35" s="37" t="s">
        <v>31</v>
      </c>
      <c r="O35" s="31" t="s">
        <v>32</v>
      </c>
      <c r="P35" s="31" t="s">
        <v>34</v>
      </c>
      <c r="Q35" s="56">
        <f t="shared" si="8"/>
        <v>1</v>
      </c>
      <c r="R35" s="56">
        <f t="shared" si="9"/>
        <v>0</v>
      </c>
      <c r="S35" s="56">
        <f t="shared" si="10"/>
        <v>0</v>
      </c>
      <c r="T35" s="113">
        <f>IF(_xlfn.XLOOKUP(MAX(Q35:S35),Q35:S35,$Q$1:$S$1)='Master Score'!G35,1,0)</f>
        <v>0</v>
      </c>
      <c r="U35" s="57">
        <v>1</v>
      </c>
      <c r="V35" s="1">
        <v>1</v>
      </c>
      <c r="W35" s="1">
        <v>1</v>
      </c>
      <c r="X35" s="1">
        <v>1</v>
      </c>
      <c r="Y35" s="1">
        <v>1</v>
      </c>
      <c r="AV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</row>
    <row r="36" spans="1:65" x14ac:dyDescent="0.25">
      <c r="M36" s="26">
        <v>46194</v>
      </c>
      <c r="N36" s="36" t="s">
        <v>26</v>
      </c>
      <c r="O36" s="28" t="s">
        <v>30</v>
      </c>
      <c r="P36" s="28" t="s">
        <v>28</v>
      </c>
      <c r="Q36" s="56">
        <f t="shared" si="8"/>
        <v>0.8</v>
      </c>
      <c r="R36" s="56">
        <f t="shared" si="9"/>
        <v>0</v>
      </c>
      <c r="S36" s="56">
        <f t="shared" si="10"/>
        <v>0.2</v>
      </c>
      <c r="T36" s="113">
        <f>IF(_xlfn.XLOOKUP(MAX(Q36:S36),Q36:S36,$Q$1:$S$1)='Master Score'!G36,1,0)</f>
        <v>0</v>
      </c>
      <c r="U36" s="57" t="str">
        <v>X</v>
      </c>
      <c r="V36" s="1">
        <v>1</v>
      </c>
      <c r="W36" s="1">
        <v>1</v>
      </c>
      <c r="X36" s="1">
        <v>1</v>
      </c>
      <c r="Y36" s="1">
        <v>1</v>
      </c>
      <c r="AV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</row>
    <row r="37" spans="1:65" x14ac:dyDescent="0.25">
      <c r="M37" s="26">
        <v>46194</v>
      </c>
      <c r="N37" s="38" t="s">
        <v>31</v>
      </c>
      <c r="O37" s="28" t="s">
        <v>35</v>
      </c>
      <c r="P37" s="28" t="s">
        <v>33</v>
      </c>
      <c r="Q37" s="56">
        <f t="shared" si="8"/>
        <v>0</v>
      </c>
      <c r="R37" s="56">
        <f t="shared" si="9"/>
        <v>1</v>
      </c>
      <c r="S37" s="56">
        <f t="shared" si="10"/>
        <v>0</v>
      </c>
      <c r="T37" s="113">
        <f>IF(_xlfn.XLOOKUP(MAX(Q37:S37),Q37:S37,$Q$1:$S$1)='Master Score'!G37,1,0)</f>
        <v>0</v>
      </c>
      <c r="U37" s="57">
        <v>2</v>
      </c>
      <c r="V37" s="1">
        <v>2</v>
      </c>
      <c r="W37" s="1">
        <v>2</v>
      </c>
      <c r="X37" s="1">
        <v>2</v>
      </c>
      <c r="Y37" s="1">
        <v>2</v>
      </c>
      <c r="AV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</row>
    <row r="38" spans="1:65" x14ac:dyDescent="0.25">
      <c r="M38" s="26">
        <v>46194</v>
      </c>
      <c r="N38" s="39" t="s">
        <v>36</v>
      </c>
      <c r="O38" s="28" t="s">
        <v>37</v>
      </c>
      <c r="P38" s="28" t="s">
        <v>39</v>
      </c>
      <c r="Q38" s="56">
        <f t="shared" si="8"/>
        <v>0.6</v>
      </c>
      <c r="R38" s="56">
        <f t="shared" si="9"/>
        <v>0</v>
      </c>
      <c r="S38" s="56">
        <f t="shared" si="10"/>
        <v>0.4</v>
      </c>
      <c r="T38" s="113">
        <f>IF(_xlfn.XLOOKUP(MAX(Q38:S38),Q38:S38,$Q$1:$S$1)='Master Score'!G38,1,0)</f>
        <v>0</v>
      </c>
      <c r="U38" s="57" t="str">
        <v>X</v>
      </c>
      <c r="V38" s="1" t="str">
        <v>X</v>
      </c>
      <c r="W38" s="1">
        <v>1</v>
      </c>
      <c r="X38" s="1">
        <v>1</v>
      </c>
      <c r="Y38" s="1">
        <v>1</v>
      </c>
      <c r="AV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</row>
    <row r="39" spans="1:65" x14ac:dyDescent="0.25">
      <c r="M39" s="26">
        <v>46194</v>
      </c>
      <c r="N39" s="40" t="s">
        <v>41</v>
      </c>
      <c r="O39" s="28" t="s">
        <v>42</v>
      </c>
      <c r="P39" s="28" t="s">
        <v>44</v>
      </c>
      <c r="Q39" s="56">
        <f t="shared" si="8"/>
        <v>1</v>
      </c>
      <c r="R39" s="56">
        <f t="shared" si="9"/>
        <v>0</v>
      </c>
      <c r="S39" s="56">
        <f t="shared" si="10"/>
        <v>0</v>
      </c>
      <c r="T39" s="113">
        <f>IF(_xlfn.XLOOKUP(MAX(Q39:S39),Q39:S39,$Q$1:$S$1)='Master Score'!G39,1,0)</f>
        <v>0</v>
      </c>
      <c r="U39" s="57">
        <v>1</v>
      </c>
      <c r="V39" s="1">
        <v>1</v>
      </c>
      <c r="W39" s="1">
        <v>1</v>
      </c>
      <c r="X39" s="1">
        <v>1</v>
      </c>
      <c r="Y39" s="1">
        <v>1</v>
      </c>
      <c r="AV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</row>
    <row r="40" spans="1:65" x14ac:dyDescent="0.25">
      <c r="M40" s="29">
        <v>46194</v>
      </c>
      <c r="N40" s="41" t="s">
        <v>41</v>
      </c>
      <c r="O40" s="31" t="s">
        <v>45</v>
      </c>
      <c r="P40" s="31" t="s">
        <v>43</v>
      </c>
      <c r="Q40" s="56">
        <f t="shared" si="8"/>
        <v>1</v>
      </c>
      <c r="R40" s="56">
        <f t="shared" si="9"/>
        <v>0</v>
      </c>
      <c r="S40" s="56">
        <f t="shared" si="10"/>
        <v>0</v>
      </c>
      <c r="T40" s="113">
        <f>IF(_xlfn.XLOOKUP(MAX(Q40:S40),Q40:S40,$Q$1:$S$1)='Master Score'!G40,1,0)</f>
        <v>0</v>
      </c>
      <c r="U40" s="57">
        <v>1</v>
      </c>
      <c r="V40" s="1">
        <v>1</v>
      </c>
      <c r="W40" s="1">
        <v>1</v>
      </c>
      <c r="X40" s="1">
        <v>1</v>
      </c>
      <c r="Y40" s="1">
        <v>1</v>
      </c>
      <c r="AV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</row>
    <row r="41" spans="1:65" x14ac:dyDescent="0.25">
      <c r="M41" s="26">
        <v>46195</v>
      </c>
      <c r="N41" s="39" t="s">
        <v>36</v>
      </c>
      <c r="O41" s="28" t="s">
        <v>40</v>
      </c>
      <c r="P41" s="28" t="s">
        <v>38</v>
      </c>
      <c r="Q41" s="56">
        <f t="shared" si="8"/>
        <v>0</v>
      </c>
      <c r="R41" s="56">
        <f t="shared" si="9"/>
        <v>0.8</v>
      </c>
      <c r="S41" s="56">
        <f t="shared" si="10"/>
        <v>0.2</v>
      </c>
      <c r="T41" s="113">
        <f>IF(_xlfn.XLOOKUP(MAX(Q41:S41),Q41:S41,$Q$1:$S$1)='Master Score'!G41,1,0)</f>
        <v>0</v>
      </c>
      <c r="U41" s="57" t="str">
        <v>X</v>
      </c>
      <c r="V41" s="1">
        <v>2</v>
      </c>
      <c r="W41" s="1">
        <v>2</v>
      </c>
      <c r="X41" s="1">
        <v>2</v>
      </c>
      <c r="Y41" s="1">
        <v>2</v>
      </c>
      <c r="AV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</row>
    <row r="42" spans="1:65" ht="15.75" thickBot="1" x14ac:dyDescent="0.3">
      <c r="A42" s="64"/>
      <c r="B42" s="64"/>
      <c r="C42" s="64" t="s">
        <v>70</v>
      </c>
      <c r="D42" s="64" t="s">
        <v>71</v>
      </c>
      <c r="E42" s="64" t="s">
        <v>67</v>
      </c>
      <c r="F42" s="64" t="s">
        <v>68</v>
      </c>
      <c r="G42" s="64" t="s">
        <v>101</v>
      </c>
      <c r="I42" t="s">
        <v>102</v>
      </c>
      <c r="J42" s="56">
        <f>SUM(J43:J90)/COUNTA(J43:J90)</f>
        <v>0.375</v>
      </c>
      <c r="M42" s="26">
        <v>46195</v>
      </c>
      <c r="N42" s="42" t="s">
        <v>46</v>
      </c>
      <c r="O42" s="28" t="s">
        <v>47</v>
      </c>
      <c r="P42" s="28" t="s">
        <v>49</v>
      </c>
      <c r="Q42" s="56">
        <f t="shared" si="8"/>
        <v>1</v>
      </c>
      <c r="R42" s="56">
        <f t="shared" si="9"/>
        <v>0</v>
      </c>
      <c r="S42" s="56">
        <f t="shared" si="10"/>
        <v>0</v>
      </c>
      <c r="T42" s="113">
        <f>IF(_xlfn.XLOOKUP(MAX(Q42:S42),Q42:S42,$Q$1:$S$1)='Master Score'!G42,1,0)</f>
        <v>0</v>
      </c>
      <c r="U42" s="57">
        <v>1</v>
      </c>
      <c r="V42" s="1">
        <v>1</v>
      </c>
      <c r="W42" s="1">
        <v>1</v>
      </c>
      <c r="X42" s="1">
        <v>1</v>
      </c>
      <c r="Y42" s="1">
        <v>1</v>
      </c>
      <c r="AV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</row>
    <row r="43" spans="1:65" x14ac:dyDescent="0.25">
      <c r="A43" s="69" t="s">
        <v>6</v>
      </c>
      <c r="B43" t="s">
        <v>7</v>
      </c>
      <c r="C43">
        <f>COUNTIF(Predictions!$F$78:$O$78,Stats!B43)</f>
        <v>5</v>
      </c>
      <c r="D43">
        <f>COUNTIF(Predictions!$F$79:$O$79,B43)</f>
        <v>0</v>
      </c>
      <c r="E43">
        <f>COUNTIF(Predictions!$F$80:$O$80,B43)</f>
        <v>0</v>
      </c>
      <c r="F43">
        <f>COUNTIF(Predictions!$F$81:$O$81,B43)</f>
        <v>0</v>
      </c>
      <c r="G43" s="81">
        <f>SUM(C43:F43)</f>
        <v>5</v>
      </c>
      <c r="H43" s="85" t="s">
        <v>70</v>
      </c>
      <c r="I43" s="86" t="str">
        <f>_xlfn.XLOOKUP(MAX(C43:C46),C43:C46,B43:B46)</f>
        <v>Mexico</v>
      </c>
      <c r="J43">
        <f>IF(I43=Predictions!E78,1,0)</f>
        <v>1</v>
      </c>
      <c r="M43" s="29">
        <v>46195</v>
      </c>
      <c r="N43" s="49" t="s">
        <v>51</v>
      </c>
      <c r="O43" s="31" t="s">
        <v>52</v>
      </c>
      <c r="P43" s="31" t="s">
        <v>54</v>
      </c>
      <c r="Q43" s="56">
        <f t="shared" si="8"/>
        <v>0.8</v>
      </c>
      <c r="R43" s="56">
        <f t="shared" si="9"/>
        <v>0</v>
      </c>
      <c r="S43" s="56">
        <f t="shared" si="10"/>
        <v>0.2</v>
      </c>
      <c r="T43" s="113">
        <f>IF(_xlfn.XLOOKUP(MAX(Q43:S43),Q43:S43,$Q$1:$S$1)='Master Score'!G43,1,0)</f>
        <v>0</v>
      </c>
      <c r="U43" s="57">
        <v>1</v>
      </c>
      <c r="V43" s="1" t="str">
        <v>X</v>
      </c>
      <c r="W43" s="1">
        <v>1</v>
      </c>
      <c r="X43" s="1">
        <v>1</v>
      </c>
      <c r="Y43" s="1">
        <v>1</v>
      </c>
      <c r="AV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</row>
    <row r="44" spans="1:65" x14ac:dyDescent="0.25">
      <c r="A44" s="69" t="s">
        <v>6</v>
      </c>
      <c r="B44" t="s">
        <v>10</v>
      </c>
      <c r="C44">
        <f>COUNTIF(Predictions!$F$78:$O$78,Stats!B44)</f>
        <v>0</v>
      </c>
      <c r="D44">
        <f>COUNTIF(Predictions!$F$79:$O$79,B44)</f>
        <v>1</v>
      </c>
      <c r="E44">
        <f>COUNTIF(Predictions!$F$80:$O$80,B44)</f>
        <v>2</v>
      </c>
      <c r="F44">
        <f>COUNTIF(Predictions!$F$81:$O$81,B44)</f>
        <v>1</v>
      </c>
      <c r="G44" s="82">
        <f t="shared" ref="G44:G90" si="11">SUM(C44:F44)</f>
        <v>4</v>
      </c>
      <c r="H44" s="87" t="s">
        <v>71</v>
      </c>
      <c r="I44" s="88" t="str">
        <f>_xlfn.XLOOKUP(MAX(D43:D46),D43:D46,B43:B46)</f>
        <v>South Korea</v>
      </c>
      <c r="J44">
        <f>IF(I44=Predictions!E79,1,0)</f>
        <v>1</v>
      </c>
      <c r="M44" s="26">
        <v>46196</v>
      </c>
      <c r="N44" s="42" t="s">
        <v>46</v>
      </c>
      <c r="O44" s="28" t="s">
        <v>50</v>
      </c>
      <c r="P44" s="28" t="s">
        <v>48</v>
      </c>
      <c r="Q44" s="56">
        <f t="shared" si="8"/>
        <v>0.2</v>
      </c>
      <c r="R44" s="56">
        <f t="shared" si="9"/>
        <v>0.4</v>
      </c>
      <c r="S44" s="56">
        <f t="shared" si="10"/>
        <v>0.4</v>
      </c>
      <c r="T44" s="113">
        <f>IF(_xlfn.XLOOKUP(MAX(Q44:S44),Q44:S44,$Q$1:$S$1)='Master Score'!G44,1,0)</f>
        <v>0</v>
      </c>
      <c r="U44" s="57">
        <v>2</v>
      </c>
      <c r="V44" s="1">
        <v>1</v>
      </c>
      <c r="W44" s="1">
        <v>2</v>
      </c>
      <c r="X44" s="1" t="str">
        <v>X</v>
      </c>
      <c r="Y44" s="1" t="str">
        <v>X</v>
      </c>
      <c r="AV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</row>
    <row r="45" spans="1:65" x14ac:dyDescent="0.25">
      <c r="A45" s="69" t="s">
        <v>6</v>
      </c>
      <c r="B45" t="s">
        <v>9</v>
      </c>
      <c r="C45">
        <f>COUNTIF(Predictions!$F$78:$O$78,Stats!B45)</f>
        <v>0</v>
      </c>
      <c r="D45">
        <f>COUNTIF(Predictions!$F$79:$O$79,B45)</f>
        <v>4</v>
      </c>
      <c r="E45">
        <f>COUNTIF(Predictions!$F$80:$O$80,B45)</f>
        <v>2</v>
      </c>
      <c r="F45">
        <f>COUNTIF(Predictions!$F$81:$O$81,B45)</f>
        <v>0</v>
      </c>
      <c r="G45" s="82">
        <f t="shared" si="11"/>
        <v>6</v>
      </c>
      <c r="H45" s="87" t="s">
        <v>67</v>
      </c>
      <c r="I45" s="88" t="str">
        <f>_xlfn.XLOOKUP(MAX(E43:E46),E43:E46,B43:B46)</f>
        <v>Czechia</v>
      </c>
      <c r="J45">
        <f>IF(I45=Predictions!E80,1,0)</f>
        <v>1</v>
      </c>
      <c r="M45" s="26">
        <v>46196</v>
      </c>
      <c r="N45" s="44" t="s">
        <v>51</v>
      </c>
      <c r="O45" s="28" t="s">
        <v>55</v>
      </c>
      <c r="P45" s="28" t="s">
        <v>53</v>
      </c>
      <c r="Q45" s="56">
        <f t="shared" si="8"/>
        <v>0</v>
      </c>
      <c r="R45" s="56">
        <f t="shared" si="9"/>
        <v>1</v>
      </c>
      <c r="S45" s="56">
        <f t="shared" si="10"/>
        <v>0</v>
      </c>
      <c r="T45" s="113">
        <f>IF(_xlfn.XLOOKUP(MAX(Q45:S45),Q45:S45,$Q$1:$S$1)='Master Score'!G45,1,0)</f>
        <v>0</v>
      </c>
      <c r="U45" s="57">
        <v>2</v>
      </c>
      <c r="V45" s="1">
        <v>2</v>
      </c>
      <c r="W45" s="1">
        <v>2</v>
      </c>
      <c r="X45" s="1">
        <v>2</v>
      </c>
      <c r="Y45" s="1">
        <v>2</v>
      </c>
      <c r="AV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</row>
    <row r="46" spans="1:65" ht="15.75" thickBot="1" x14ac:dyDescent="0.3">
      <c r="A46" s="70" t="s">
        <v>6</v>
      </c>
      <c r="B46" s="64" t="s">
        <v>8</v>
      </c>
      <c r="C46" s="64">
        <f>COUNTIF(Predictions!$F$78:$O$78,Stats!B46)</f>
        <v>0</v>
      </c>
      <c r="D46" s="64">
        <f>COUNTIF(Predictions!$F$79:$O$79,B46)</f>
        <v>0</v>
      </c>
      <c r="E46" s="64">
        <f>COUNTIF(Predictions!$F$80:$O$80,B46)</f>
        <v>1</v>
      </c>
      <c r="F46" s="64">
        <f>COUNTIF(Predictions!$F$81:$O$81,B46)</f>
        <v>4</v>
      </c>
      <c r="G46" s="83">
        <f t="shared" si="11"/>
        <v>5</v>
      </c>
      <c r="H46" s="89" t="s">
        <v>68</v>
      </c>
      <c r="I46" s="90" t="str">
        <f>_xlfn.XLOOKUP(MAX(F43:F46),F43:F46,B43:B46)</f>
        <v>South Africa</v>
      </c>
      <c r="J46">
        <f>IF(I46=Predictions!E81,1,0)</f>
        <v>1</v>
      </c>
      <c r="M46" s="26">
        <v>46196</v>
      </c>
      <c r="N46" s="45" t="s">
        <v>56</v>
      </c>
      <c r="O46" s="28" t="s">
        <v>57</v>
      </c>
      <c r="P46" s="28" t="s">
        <v>59</v>
      </c>
      <c r="Q46" s="56">
        <f t="shared" si="8"/>
        <v>1</v>
      </c>
      <c r="R46" s="56">
        <f t="shared" si="9"/>
        <v>0</v>
      </c>
      <c r="S46" s="56">
        <f t="shared" si="10"/>
        <v>0</v>
      </c>
      <c r="T46" s="113">
        <f>IF(_xlfn.XLOOKUP(MAX(Q46:S46),Q46:S46,$Q$1:$S$1)='Master Score'!G46,1,0)</f>
        <v>0</v>
      </c>
      <c r="U46" s="57">
        <v>1</v>
      </c>
      <c r="V46" s="1">
        <v>1</v>
      </c>
      <c r="W46" s="1">
        <v>1</v>
      </c>
      <c r="X46" s="1">
        <v>1</v>
      </c>
      <c r="Y46" s="1">
        <v>1</v>
      </c>
      <c r="AV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</row>
    <row r="47" spans="1:65" x14ac:dyDescent="0.25">
      <c r="A47" s="69" t="s">
        <v>11</v>
      </c>
      <c r="B47" t="s">
        <v>95</v>
      </c>
      <c r="C47">
        <f>COUNTIF(Predictions!$F$82:$O$82,Stats!B47)</f>
        <v>0</v>
      </c>
      <c r="D47">
        <f>COUNTIF(Predictions!$F$83:$O$83,B47)</f>
        <v>1</v>
      </c>
      <c r="E47">
        <f>COUNTIF(Predictions!$F$84:$O$84,B47)</f>
        <v>3</v>
      </c>
      <c r="F47">
        <f>COUNTIF(Predictions!$F$85:$O$85,B47)</f>
        <v>0</v>
      </c>
      <c r="G47" s="82">
        <f t="shared" si="11"/>
        <v>4</v>
      </c>
      <c r="H47" s="87" t="s">
        <v>70</v>
      </c>
      <c r="I47" s="91" t="str">
        <f>_xlfn.XLOOKUP(MAX(C47:C50),C47:C50,B47:B50)</f>
        <v>Switzerland</v>
      </c>
      <c r="J47">
        <f>IF(I47=Predictions!E82,1,0)</f>
        <v>0</v>
      </c>
      <c r="M47" s="29">
        <v>46196</v>
      </c>
      <c r="N47" s="46" t="s">
        <v>61</v>
      </c>
      <c r="O47" s="31" t="s">
        <v>62</v>
      </c>
      <c r="P47" s="31" t="s">
        <v>64</v>
      </c>
      <c r="Q47" s="56">
        <f t="shared" si="8"/>
        <v>0.8</v>
      </c>
      <c r="R47" s="56">
        <f t="shared" si="9"/>
        <v>0</v>
      </c>
      <c r="S47" s="56">
        <f t="shared" si="10"/>
        <v>0.2</v>
      </c>
      <c r="T47" s="113">
        <f>IF(_xlfn.XLOOKUP(MAX(Q47:S47),Q47:S47,$Q$1:$S$1)='Master Score'!G47,1,0)</f>
        <v>0</v>
      </c>
      <c r="U47" s="57">
        <v>1</v>
      </c>
      <c r="V47" s="1" t="str">
        <v>X</v>
      </c>
      <c r="W47" s="1">
        <v>1</v>
      </c>
      <c r="X47" s="1">
        <v>1</v>
      </c>
      <c r="Y47" s="1">
        <v>1</v>
      </c>
      <c r="AV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</row>
    <row r="48" spans="1:65" x14ac:dyDescent="0.25">
      <c r="A48" s="69" t="s">
        <v>11</v>
      </c>
      <c r="B48" t="s">
        <v>14</v>
      </c>
      <c r="C48">
        <f>COUNTIF(Predictions!$F$82:$O$82,Stats!B48)</f>
        <v>0</v>
      </c>
      <c r="D48">
        <f>COUNTIF(Predictions!$F$83:$O$83,B48)</f>
        <v>0</v>
      </c>
      <c r="E48">
        <f>COUNTIF(Predictions!$F$84:$O$84,B48)</f>
        <v>0</v>
      </c>
      <c r="F48">
        <f>COUNTIF(Predictions!$F$85:$O$85,B48)</f>
        <v>5</v>
      </c>
      <c r="G48" s="82">
        <f t="shared" si="11"/>
        <v>5</v>
      </c>
      <c r="H48" s="87" t="s">
        <v>71</v>
      </c>
      <c r="I48" s="91" t="str">
        <f>_xlfn.XLOOKUP(MAX(D47:D50),D47:D50,B47:B50)</f>
        <v>Canada</v>
      </c>
      <c r="J48">
        <f>IF(I48=Predictions!E83,1,0)</f>
        <v>1</v>
      </c>
      <c r="M48" s="26">
        <v>46197</v>
      </c>
      <c r="N48" s="45" t="s">
        <v>56</v>
      </c>
      <c r="O48" s="28" t="s">
        <v>60</v>
      </c>
      <c r="P48" s="28" t="s">
        <v>58</v>
      </c>
      <c r="Q48" s="56">
        <f t="shared" si="8"/>
        <v>0.6</v>
      </c>
      <c r="R48" s="56">
        <f t="shared" si="9"/>
        <v>0</v>
      </c>
      <c r="S48" s="56">
        <f t="shared" si="10"/>
        <v>0.4</v>
      </c>
      <c r="T48" s="113">
        <f>IF(_xlfn.XLOOKUP(MAX(Q48:S48),Q48:S48,$Q$1:$S$1)='Master Score'!G48,1,0)</f>
        <v>0</v>
      </c>
      <c r="U48" s="57" t="str">
        <v>X</v>
      </c>
      <c r="V48" s="1" t="str">
        <v>X</v>
      </c>
      <c r="W48" s="1">
        <v>1</v>
      </c>
      <c r="X48" s="1">
        <v>1</v>
      </c>
      <c r="Y48" s="1">
        <v>1</v>
      </c>
      <c r="AV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</row>
    <row r="49" spans="1:65" x14ac:dyDescent="0.25">
      <c r="A49" s="69" t="s">
        <v>11</v>
      </c>
      <c r="B49" t="s">
        <v>15</v>
      </c>
      <c r="C49">
        <f>COUNTIF(Predictions!$F$82:$O$82,Stats!B49)</f>
        <v>5</v>
      </c>
      <c r="D49">
        <f>COUNTIF(Predictions!$F$83:$O$83,B49)</f>
        <v>0</v>
      </c>
      <c r="E49">
        <f>COUNTIF(Predictions!$F$84:$O$84,B49)</f>
        <v>0</v>
      </c>
      <c r="F49">
        <f>COUNTIF(Predictions!$F$85:$O$85,B49)</f>
        <v>0</v>
      </c>
      <c r="G49" s="82">
        <f t="shared" si="11"/>
        <v>5</v>
      </c>
      <c r="H49" s="87" t="s">
        <v>67</v>
      </c>
      <c r="I49" s="91" t="str">
        <f>_xlfn.XLOOKUP(MAX(E47:E50),E47:E50,B47:B50)</f>
        <v>Bosnia &amp; Herzegovina</v>
      </c>
      <c r="J49">
        <f>IF(I49=Predictions!E84,1,0)</f>
        <v>0</v>
      </c>
      <c r="M49" s="26">
        <v>46197</v>
      </c>
      <c r="N49" s="47" t="s">
        <v>61</v>
      </c>
      <c r="O49" s="28" t="s">
        <v>65</v>
      </c>
      <c r="P49" s="28" t="s">
        <v>63</v>
      </c>
      <c r="Q49" s="56">
        <f t="shared" si="8"/>
        <v>0</v>
      </c>
      <c r="R49" s="56">
        <f t="shared" si="9"/>
        <v>1</v>
      </c>
      <c r="S49" s="56">
        <f t="shared" si="10"/>
        <v>0</v>
      </c>
      <c r="T49" s="113">
        <f>IF(_xlfn.XLOOKUP(MAX(Q49:S49),Q49:S49,$Q$1:$S$1)='Master Score'!G49,1,0)</f>
        <v>0</v>
      </c>
      <c r="U49" s="57">
        <v>2</v>
      </c>
      <c r="V49" s="1">
        <v>2</v>
      </c>
      <c r="W49" s="1">
        <v>2</v>
      </c>
      <c r="X49" s="1">
        <v>2</v>
      </c>
      <c r="Y49" s="1">
        <v>2</v>
      </c>
      <c r="AV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</row>
    <row r="50" spans="1:65" ht="15.75" thickBot="1" x14ac:dyDescent="0.3">
      <c r="A50" s="70" t="s">
        <v>11</v>
      </c>
      <c r="B50" s="64" t="s">
        <v>12</v>
      </c>
      <c r="C50" s="64">
        <f>COUNTIF(Predictions!$F$82:$O$82,Stats!B50)</f>
        <v>0</v>
      </c>
      <c r="D50" s="64">
        <f>COUNTIF(Predictions!$F$83:$O$83,B50)</f>
        <v>4</v>
      </c>
      <c r="E50" s="64">
        <f>COUNTIF(Predictions!$F$84:$O$84,B50)</f>
        <v>2</v>
      </c>
      <c r="F50" s="64">
        <f>COUNTIF(Predictions!$F$85:$O$85,B50)</f>
        <v>0</v>
      </c>
      <c r="G50" s="83">
        <f t="shared" si="11"/>
        <v>6</v>
      </c>
      <c r="H50" s="89" t="s">
        <v>68</v>
      </c>
      <c r="I50" s="92" t="str">
        <f>_xlfn.XLOOKUP(MAX(F47:F50),F47:F50,B47:B50)</f>
        <v>Qatar</v>
      </c>
      <c r="J50">
        <f>IF(I50=Predictions!E85,1,0)</f>
        <v>0</v>
      </c>
      <c r="M50" s="26">
        <v>46197</v>
      </c>
      <c r="N50" s="33" t="s">
        <v>11</v>
      </c>
      <c r="O50" s="28" t="s">
        <v>15</v>
      </c>
      <c r="P50" s="28" t="s">
        <v>12</v>
      </c>
      <c r="Q50" s="56">
        <f t="shared" si="8"/>
        <v>0.8</v>
      </c>
      <c r="R50" s="56">
        <f t="shared" si="9"/>
        <v>0</v>
      </c>
      <c r="S50" s="56">
        <f t="shared" si="10"/>
        <v>0.2</v>
      </c>
      <c r="T50" s="113">
        <f>IF(_xlfn.XLOOKUP(MAX(Q50:S50),Q50:S50,$Q$1:$S$1)='Master Score'!G50,1,0)</f>
        <v>0</v>
      </c>
      <c r="U50" s="57">
        <v>1</v>
      </c>
      <c r="V50" s="1" t="str">
        <v>X</v>
      </c>
      <c r="W50" s="1">
        <v>1</v>
      </c>
      <c r="X50" s="1">
        <v>1</v>
      </c>
      <c r="Y50" s="1">
        <v>1</v>
      </c>
      <c r="AV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</row>
    <row r="51" spans="1:65" x14ac:dyDescent="0.25">
      <c r="A51" s="69" t="s">
        <v>16</v>
      </c>
      <c r="B51" t="s">
        <v>17</v>
      </c>
      <c r="C51">
        <f>COUNTIF(Predictions!$F$86:$O$86,Stats!B51)</f>
        <v>3</v>
      </c>
      <c r="D51">
        <f>COUNTIF(Predictions!$F$87:$O$87,B51)</f>
        <v>2</v>
      </c>
      <c r="E51">
        <f>COUNTIF(Predictions!$F$88:$O$88,B51)</f>
        <v>0</v>
      </c>
      <c r="F51">
        <f>COUNTIF(Predictions!$F$89:$O$89,B51)</f>
        <v>0</v>
      </c>
      <c r="G51" s="82">
        <f t="shared" si="11"/>
        <v>5</v>
      </c>
      <c r="H51" s="87" t="s">
        <v>70</v>
      </c>
      <c r="I51" s="93" t="str">
        <f>_xlfn.XLOOKUP(MAX(C51:C54),C51:C54,B51:B54)</f>
        <v>Brazil</v>
      </c>
      <c r="J51">
        <f>IF(I51=Predictions!E86,1,0)</f>
        <v>1</v>
      </c>
      <c r="M51" s="26">
        <v>46197</v>
      </c>
      <c r="N51" s="33" t="s">
        <v>11</v>
      </c>
      <c r="O51" s="28" t="s">
        <v>13</v>
      </c>
      <c r="P51" s="28" t="s">
        <v>14</v>
      </c>
      <c r="Q51" s="56">
        <f t="shared" si="8"/>
        <v>0.8</v>
      </c>
      <c r="R51" s="56">
        <f t="shared" si="9"/>
        <v>0</v>
      </c>
      <c r="S51" s="56">
        <f t="shared" si="10"/>
        <v>0.2</v>
      </c>
      <c r="T51" s="113">
        <f>IF(_xlfn.XLOOKUP(MAX(Q51:S51),Q51:S51,$Q$1:$S$1)='Master Score'!G51,1,0)</f>
        <v>0</v>
      </c>
      <c r="U51" s="57" t="str">
        <v>X</v>
      </c>
      <c r="V51" s="1">
        <v>1</v>
      </c>
      <c r="W51" s="1">
        <v>1</v>
      </c>
      <c r="X51" s="1">
        <v>1</v>
      </c>
      <c r="Y51" s="1">
        <v>1</v>
      </c>
      <c r="AV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</row>
    <row r="52" spans="1:65" x14ac:dyDescent="0.25">
      <c r="A52" s="69" t="s">
        <v>16</v>
      </c>
      <c r="B52" t="s">
        <v>19</v>
      </c>
      <c r="C52">
        <f>COUNTIF(Predictions!$F$86:$O$86,Stats!B52)</f>
        <v>0</v>
      </c>
      <c r="D52">
        <f>COUNTIF(Predictions!$F$87:$O$87,B52)</f>
        <v>0</v>
      </c>
      <c r="E52">
        <f>COUNTIF(Predictions!$F$88:$O$88,B52)</f>
        <v>0</v>
      </c>
      <c r="F52">
        <f>COUNTIF(Predictions!$F$89:$O$89,B52)</f>
        <v>5</v>
      </c>
      <c r="G52" s="82">
        <f t="shared" si="11"/>
        <v>5</v>
      </c>
      <c r="H52" s="87" t="s">
        <v>71</v>
      </c>
      <c r="I52" s="93" t="str">
        <f>_xlfn.XLOOKUP(MAX(D51:D54),D51:D54,B51:B54)</f>
        <v>Brazil</v>
      </c>
      <c r="J52">
        <f>IF(I52=Predictions!E87,1,0)</f>
        <v>0</v>
      </c>
      <c r="M52" s="26">
        <v>46197</v>
      </c>
      <c r="N52" s="35" t="s">
        <v>16</v>
      </c>
      <c r="O52" s="28" t="s">
        <v>20</v>
      </c>
      <c r="P52" s="28" t="s">
        <v>17</v>
      </c>
      <c r="Q52" s="56">
        <f t="shared" si="8"/>
        <v>0</v>
      </c>
      <c r="R52" s="56">
        <f t="shared" si="9"/>
        <v>0.6</v>
      </c>
      <c r="S52" s="56">
        <f t="shared" si="10"/>
        <v>0.4</v>
      </c>
      <c r="T52" s="113">
        <f>IF(_xlfn.XLOOKUP(MAX(Q52:S52),Q52:S52,$Q$1:$S$1)='Master Score'!G52,1,0)</f>
        <v>0</v>
      </c>
      <c r="U52" s="57" t="str">
        <v>X</v>
      </c>
      <c r="V52" s="1" t="str">
        <v>X</v>
      </c>
      <c r="W52" s="1">
        <v>2</v>
      </c>
      <c r="X52" s="1">
        <v>2</v>
      </c>
      <c r="Y52" s="1">
        <v>2</v>
      </c>
      <c r="AV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</row>
    <row r="53" spans="1:65" x14ac:dyDescent="0.25">
      <c r="A53" s="69" t="s">
        <v>16</v>
      </c>
      <c r="B53" t="s">
        <v>18</v>
      </c>
      <c r="C53">
        <f>COUNTIF(Predictions!$F$86:$O$86,Stats!B53)</f>
        <v>2</v>
      </c>
      <c r="D53">
        <f>COUNTIF(Predictions!$F$87:$O$87,B53)</f>
        <v>2</v>
      </c>
      <c r="E53">
        <f>COUNTIF(Predictions!$F$88:$O$88,B53)</f>
        <v>1</v>
      </c>
      <c r="F53">
        <f>COUNTIF(Predictions!$F$89:$O$89,B53)</f>
        <v>0</v>
      </c>
      <c r="G53" s="82">
        <f t="shared" si="11"/>
        <v>5</v>
      </c>
      <c r="H53" s="87" t="s">
        <v>67</v>
      </c>
      <c r="I53" s="93" t="str">
        <f>_xlfn.XLOOKUP(MAX(E51:E54),E51:E54,B51:B54)</f>
        <v>Scotland</v>
      </c>
      <c r="J53">
        <f>IF(I53=Predictions!E88,1,0)</f>
        <v>0</v>
      </c>
      <c r="M53" s="29">
        <v>46197</v>
      </c>
      <c r="N53" s="34" t="s">
        <v>16</v>
      </c>
      <c r="O53" s="31" t="s">
        <v>18</v>
      </c>
      <c r="P53" s="31" t="s">
        <v>19</v>
      </c>
      <c r="Q53" s="56">
        <f t="shared" si="8"/>
        <v>1</v>
      </c>
      <c r="R53" s="56">
        <f t="shared" si="9"/>
        <v>0</v>
      </c>
      <c r="S53" s="56">
        <f t="shared" si="10"/>
        <v>0</v>
      </c>
      <c r="T53" s="113">
        <f>IF(_xlfn.XLOOKUP(MAX(Q53:S53),Q53:S53,$Q$1:$S$1)='Master Score'!G53,1,0)</f>
        <v>0</v>
      </c>
      <c r="U53" s="57">
        <v>1</v>
      </c>
      <c r="V53" s="1">
        <v>1</v>
      </c>
      <c r="W53" s="1">
        <v>1</v>
      </c>
      <c r="X53" s="1">
        <v>1</v>
      </c>
      <c r="Y53" s="1">
        <v>1</v>
      </c>
      <c r="AV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</row>
    <row r="54" spans="1:65" ht="15.75" thickBot="1" x14ac:dyDescent="0.3">
      <c r="A54" s="70" t="s">
        <v>16</v>
      </c>
      <c r="B54" s="64" t="s">
        <v>20</v>
      </c>
      <c r="C54" s="64">
        <f>COUNTIF(Predictions!$F$86:$O$86,Stats!B54)</f>
        <v>0</v>
      </c>
      <c r="D54" s="64">
        <f>COUNTIF(Predictions!$F$87:$O$87,B54)</f>
        <v>1</v>
      </c>
      <c r="E54" s="64">
        <f>COUNTIF(Predictions!$F$88:$O$88,B54)</f>
        <v>4</v>
      </c>
      <c r="F54" s="84">
        <f>COUNTIF(Predictions!$F$89:$O$89,B54)</f>
        <v>0</v>
      </c>
      <c r="G54" s="83">
        <f t="shared" si="11"/>
        <v>5</v>
      </c>
      <c r="H54" s="89" t="s">
        <v>68</v>
      </c>
      <c r="I54" s="94" t="str">
        <f>_xlfn.XLOOKUP(MAX(F51:F54),F51:F54,B51:B54)</f>
        <v>Haiti</v>
      </c>
      <c r="J54">
        <f>IF(I54=Predictions!E89,1,0)</f>
        <v>0</v>
      </c>
      <c r="M54" s="26">
        <v>46198</v>
      </c>
      <c r="N54" s="27" t="s">
        <v>6</v>
      </c>
      <c r="O54" s="28" t="s">
        <v>10</v>
      </c>
      <c r="P54" s="28" t="s">
        <v>7</v>
      </c>
      <c r="Q54" s="56">
        <f t="shared" si="8"/>
        <v>0</v>
      </c>
      <c r="R54" s="56">
        <f t="shared" si="9"/>
        <v>0.6</v>
      </c>
      <c r="S54" s="56">
        <f t="shared" si="10"/>
        <v>0.4</v>
      </c>
      <c r="T54" s="113">
        <f>IF(_xlfn.XLOOKUP(MAX(Q54:S54),Q54:S54,$Q$1:$S$1)='Master Score'!G54,1,0)</f>
        <v>0</v>
      </c>
      <c r="U54" s="57">
        <v>2</v>
      </c>
      <c r="V54" s="1" t="str">
        <v>X</v>
      </c>
      <c r="W54" s="1" t="str">
        <v>X</v>
      </c>
      <c r="X54" s="1">
        <v>2</v>
      </c>
      <c r="Y54" s="1">
        <v>2</v>
      </c>
      <c r="AV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</row>
    <row r="55" spans="1:65" x14ac:dyDescent="0.25">
      <c r="A55" s="69" t="s">
        <v>21</v>
      </c>
      <c r="B55" t="s">
        <v>24</v>
      </c>
      <c r="C55">
        <f>COUNTIF(Predictions!$F$90:$O$90,Stats!B55)</f>
        <v>0</v>
      </c>
      <c r="D55">
        <f>COUNTIF(Predictions!$F$91:$O$91,B55)</f>
        <v>0</v>
      </c>
      <c r="E55">
        <f>COUNTIF(Predictions!$F$92:$O$92,B55)</f>
        <v>1</v>
      </c>
      <c r="F55">
        <f>COUNTIF(Predictions!$F$93:$O$93,B55)</f>
        <v>4</v>
      </c>
      <c r="G55" s="82">
        <f t="shared" si="11"/>
        <v>5</v>
      </c>
      <c r="H55" s="87" t="s">
        <v>70</v>
      </c>
      <c r="I55" s="95" t="str">
        <f>_xlfn.XLOOKUP(MAX(C55:C58),C55:C58,B55:B58)</f>
        <v>Türkiye</v>
      </c>
      <c r="J55">
        <f>IF(I55=Predictions!E90,1,0)</f>
        <v>0</v>
      </c>
      <c r="M55" s="26">
        <v>46198</v>
      </c>
      <c r="N55" s="27" t="s">
        <v>6</v>
      </c>
      <c r="O55" s="28" t="s">
        <v>8</v>
      </c>
      <c r="P55" s="28" t="s">
        <v>9</v>
      </c>
      <c r="Q55" s="56">
        <f t="shared" si="8"/>
        <v>0</v>
      </c>
      <c r="R55" s="56">
        <f t="shared" si="9"/>
        <v>1</v>
      </c>
      <c r="S55" s="56">
        <f t="shared" si="10"/>
        <v>0</v>
      </c>
      <c r="T55" s="113">
        <f>IF(_xlfn.XLOOKUP(MAX(Q55:S55),Q55:S55,$Q$1:$S$1)='Master Score'!G55,1,0)</f>
        <v>0</v>
      </c>
      <c r="U55" s="57">
        <v>2</v>
      </c>
      <c r="V55" s="1">
        <v>2</v>
      </c>
      <c r="W55" s="1">
        <v>2</v>
      </c>
      <c r="X55" s="1">
        <v>2</v>
      </c>
      <c r="Y55" s="1">
        <v>2</v>
      </c>
      <c r="AV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</row>
    <row r="56" spans="1:65" x14ac:dyDescent="0.25">
      <c r="A56" s="69" t="s">
        <v>21</v>
      </c>
      <c r="B56" t="s">
        <v>23</v>
      </c>
      <c r="C56">
        <f>COUNTIF(Predictions!$F$90:$O$90,Stats!B56)</f>
        <v>0</v>
      </c>
      <c r="D56">
        <f>COUNTIF(Predictions!$F$91:$O$91,B56)</f>
        <v>1</v>
      </c>
      <c r="E56">
        <f>COUNTIF(Predictions!$F$92:$O$92,B56)</f>
        <v>3</v>
      </c>
      <c r="F56">
        <f>COUNTIF(Predictions!$F$93:$O$93,B56)</f>
        <v>1</v>
      </c>
      <c r="G56" s="82">
        <f t="shared" si="11"/>
        <v>5</v>
      </c>
      <c r="H56" s="87" t="s">
        <v>71</v>
      </c>
      <c r="I56" s="95" t="str">
        <f>_xlfn.XLOOKUP(MAX(D55:D58),D55:D58,B55:B58)</f>
        <v>USA</v>
      </c>
      <c r="J56">
        <f>IF(I56=Predictions!E91,1,0)</f>
        <v>0</v>
      </c>
      <c r="M56" s="26">
        <v>46198</v>
      </c>
      <c r="N56" s="36" t="s">
        <v>26</v>
      </c>
      <c r="O56" s="28" t="s">
        <v>30</v>
      </c>
      <c r="P56" s="28" t="s">
        <v>27</v>
      </c>
      <c r="Q56" s="56">
        <f t="shared" si="8"/>
        <v>0</v>
      </c>
      <c r="R56" s="56">
        <f t="shared" si="9"/>
        <v>0.8</v>
      </c>
      <c r="S56" s="56">
        <f t="shared" si="10"/>
        <v>0.2</v>
      </c>
      <c r="T56" s="113">
        <f>IF(_xlfn.XLOOKUP(MAX(Q56:S56),Q56:S56,$Q$1:$S$1)='Master Score'!G56,1,0)</f>
        <v>0</v>
      </c>
      <c r="U56" s="57">
        <v>2</v>
      </c>
      <c r="V56" s="1" t="str">
        <v>X</v>
      </c>
      <c r="W56" s="1">
        <v>2</v>
      </c>
      <c r="X56" s="1">
        <v>2</v>
      </c>
      <c r="Y56" s="1">
        <v>2</v>
      </c>
      <c r="AV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</row>
    <row r="57" spans="1:65" x14ac:dyDescent="0.25">
      <c r="A57" s="69" t="s">
        <v>21</v>
      </c>
      <c r="B57" t="s">
        <v>25</v>
      </c>
      <c r="C57">
        <f>COUNTIF(Predictions!$F$90:$O$90,Stats!B57)</f>
        <v>5</v>
      </c>
      <c r="D57">
        <f>COUNTIF(Predictions!$F$91:$O$91,B57)</f>
        <v>0</v>
      </c>
      <c r="E57">
        <f>COUNTIF(Predictions!$F$92:$O$92,B57)</f>
        <v>0</v>
      </c>
      <c r="F57">
        <f>COUNTIF(Predictions!$F$93:$O$93,B57)</f>
        <v>0</v>
      </c>
      <c r="G57" s="82">
        <f t="shared" si="11"/>
        <v>5</v>
      </c>
      <c r="H57" s="87" t="s">
        <v>67</v>
      </c>
      <c r="I57" s="95" t="str">
        <f>_xlfn.XLOOKUP(MAX(E55:E58),E55:E58,B55:B58)</f>
        <v>Paraguay</v>
      </c>
      <c r="J57">
        <f>IF(I57=Predictions!E92,1,0)</f>
        <v>0</v>
      </c>
      <c r="M57" s="29">
        <v>46198</v>
      </c>
      <c r="N57" s="50" t="s">
        <v>26</v>
      </c>
      <c r="O57" s="31" t="s">
        <v>28</v>
      </c>
      <c r="P57" s="31" t="s">
        <v>29</v>
      </c>
      <c r="Q57" s="56">
        <f t="shared" si="8"/>
        <v>0</v>
      </c>
      <c r="R57" s="56">
        <f t="shared" si="9"/>
        <v>1</v>
      </c>
      <c r="S57" s="56">
        <f t="shared" si="10"/>
        <v>0</v>
      </c>
      <c r="T57" s="113">
        <f>IF(_xlfn.XLOOKUP(MAX(Q57:S57),Q57:S57,$Q$1:$S$1)='Master Score'!G57,1,0)</f>
        <v>0</v>
      </c>
      <c r="U57" s="57">
        <v>2</v>
      </c>
      <c r="V57" s="1">
        <v>2</v>
      </c>
      <c r="W57" s="1">
        <v>2</v>
      </c>
      <c r="X57" s="1">
        <v>2</v>
      </c>
      <c r="Y57" s="1">
        <v>2</v>
      </c>
      <c r="AV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</row>
    <row r="58" spans="1:65" ht="15.75" thickBot="1" x14ac:dyDescent="0.3">
      <c r="A58" s="70" t="s">
        <v>21</v>
      </c>
      <c r="B58" s="64" t="s">
        <v>22</v>
      </c>
      <c r="C58" s="64">
        <f>COUNTIF(Predictions!$F$90:$O$90,Stats!B58)</f>
        <v>0</v>
      </c>
      <c r="D58" s="64">
        <f>COUNTIF(Predictions!$F$91:$O$91,B58)</f>
        <v>4</v>
      </c>
      <c r="E58" s="64">
        <f>COUNTIF(Predictions!$F$92:$O$92,B58)</f>
        <v>1</v>
      </c>
      <c r="F58" s="84">
        <f>COUNTIF(Predictions!$F$93:$O$93,B58)</f>
        <v>0</v>
      </c>
      <c r="G58" s="83">
        <f t="shared" si="11"/>
        <v>5</v>
      </c>
      <c r="H58" s="89" t="s">
        <v>68</v>
      </c>
      <c r="I58" s="96" t="str">
        <f>_xlfn.XLOOKUP(MAX(F55:F58),F55:F58,B55:B58)</f>
        <v>Australia</v>
      </c>
      <c r="J58">
        <f>IF(I58=Predictions!E93,1,0)</f>
        <v>0</v>
      </c>
      <c r="M58" s="26">
        <v>46199</v>
      </c>
      <c r="N58" s="32" t="s">
        <v>21</v>
      </c>
      <c r="O58" s="28" t="s">
        <v>25</v>
      </c>
      <c r="P58" s="28" t="s">
        <v>22</v>
      </c>
      <c r="Q58" s="56">
        <f t="shared" si="8"/>
        <v>0.6</v>
      </c>
      <c r="R58" s="56">
        <f t="shared" si="9"/>
        <v>0</v>
      </c>
      <c r="S58" s="56">
        <f t="shared" si="10"/>
        <v>0.4</v>
      </c>
      <c r="T58" s="113">
        <f>IF(_xlfn.XLOOKUP(MAX(Q58:S58),Q58:S58,$Q$1:$S$1)='Master Score'!G58,1,0)</f>
        <v>0</v>
      </c>
      <c r="U58" s="57" t="str">
        <v>X</v>
      </c>
      <c r="V58" s="1">
        <v>1</v>
      </c>
      <c r="W58" s="1" t="str">
        <v>X</v>
      </c>
      <c r="X58" s="1">
        <v>1</v>
      </c>
      <c r="Y58" s="1">
        <v>1</v>
      </c>
      <c r="AV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</row>
    <row r="59" spans="1:65" x14ac:dyDescent="0.25">
      <c r="A59" s="69" t="s">
        <v>26</v>
      </c>
      <c r="B59" t="s">
        <v>28</v>
      </c>
      <c r="C59">
        <f>COUNTIF(Predictions!$F$94:$O$94,Stats!B59)</f>
        <v>0</v>
      </c>
      <c r="D59">
        <f>COUNTIF(Predictions!$F$95:$O$95,B59)</f>
        <v>0</v>
      </c>
      <c r="E59">
        <f>COUNTIF(Predictions!$F$96:$O$96,B59)</f>
        <v>1</v>
      </c>
      <c r="F59">
        <f>COUNTIF(Predictions!$F$97:$O$97,B59)</f>
        <v>4</v>
      </c>
      <c r="G59" s="82">
        <f t="shared" si="11"/>
        <v>5</v>
      </c>
      <c r="H59" s="87" t="s">
        <v>70</v>
      </c>
      <c r="I59" s="97" t="str">
        <f>_xlfn.XLOOKUP(MAX(C59:C62),C59:C62,B59:B62)</f>
        <v>Germany</v>
      </c>
      <c r="J59">
        <f>IF(I59=Predictions!E94,1,0)</f>
        <v>0</v>
      </c>
      <c r="M59" s="26">
        <v>46199</v>
      </c>
      <c r="N59" s="32" t="s">
        <v>21</v>
      </c>
      <c r="O59" s="28" t="s">
        <v>23</v>
      </c>
      <c r="P59" s="28" t="s">
        <v>24</v>
      </c>
      <c r="Q59" s="56">
        <f t="shared" si="8"/>
        <v>0</v>
      </c>
      <c r="R59" s="56">
        <f t="shared" si="9"/>
        <v>0.2</v>
      </c>
      <c r="S59" s="56">
        <f t="shared" si="10"/>
        <v>0.8</v>
      </c>
      <c r="T59" s="113">
        <f>IF(_xlfn.XLOOKUP(MAX(Q59:S59),Q59:S59,$Q$1:$S$1)='Master Score'!G59,1,0)</f>
        <v>0</v>
      </c>
      <c r="U59" s="57">
        <v>2</v>
      </c>
      <c r="V59" s="1" t="str">
        <v>X</v>
      </c>
      <c r="W59" s="1" t="str">
        <v>X</v>
      </c>
      <c r="X59" s="1" t="str">
        <v>X</v>
      </c>
      <c r="Y59" s="1" t="str">
        <v>X</v>
      </c>
      <c r="AV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</row>
    <row r="60" spans="1:65" x14ac:dyDescent="0.25">
      <c r="A60" s="69" t="s">
        <v>26</v>
      </c>
      <c r="B60" t="s">
        <v>29</v>
      </c>
      <c r="C60">
        <f>COUNTIF(Predictions!$F$94:$O$94,Stats!B60)</f>
        <v>0</v>
      </c>
      <c r="D60">
        <f>COUNTIF(Predictions!$F$95:$O$95,B60)</f>
        <v>3</v>
      </c>
      <c r="E60">
        <f>COUNTIF(Predictions!$F$96:$O$96,B60)</f>
        <v>2</v>
      </c>
      <c r="F60">
        <f>COUNTIF(Predictions!$F$97:$O$97,B60)</f>
        <v>0</v>
      </c>
      <c r="G60" s="82">
        <f t="shared" si="11"/>
        <v>5</v>
      </c>
      <c r="H60" s="87" t="s">
        <v>71</v>
      </c>
      <c r="I60" s="97" t="str">
        <f>_xlfn.XLOOKUP(MAX(D59:D62),D59:D62,B59:B62)</f>
        <v>Côte d'Ivoire</v>
      </c>
      <c r="J60">
        <f>IF(I60=Predictions!E95,1,0)</f>
        <v>1</v>
      </c>
      <c r="M60" s="26">
        <v>46199</v>
      </c>
      <c r="N60" s="38" t="s">
        <v>31</v>
      </c>
      <c r="O60" s="28" t="s">
        <v>35</v>
      </c>
      <c r="P60" s="28" t="s">
        <v>32</v>
      </c>
      <c r="Q60" s="56">
        <f t="shared" si="8"/>
        <v>0</v>
      </c>
      <c r="R60" s="56">
        <f t="shared" si="9"/>
        <v>1</v>
      </c>
      <c r="S60" s="56">
        <f t="shared" si="10"/>
        <v>0</v>
      </c>
      <c r="T60" s="113">
        <f>IF(_xlfn.XLOOKUP(MAX(Q60:S60),Q60:S60,$Q$1:$S$1)='Master Score'!G60,1,0)</f>
        <v>0</v>
      </c>
      <c r="U60" s="57">
        <v>2</v>
      </c>
      <c r="V60" s="1">
        <v>2</v>
      </c>
      <c r="W60" s="1">
        <v>2</v>
      </c>
      <c r="X60" s="1">
        <v>2</v>
      </c>
      <c r="Y60" s="1">
        <v>2</v>
      </c>
      <c r="AV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</row>
    <row r="61" spans="1:65" x14ac:dyDescent="0.25">
      <c r="A61" s="69" t="s">
        <v>26</v>
      </c>
      <c r="B61" t="s">
        <v>30</v>
      </c>
      <c r="C61">
        <f>COUNTIF(Predictions!$F$94:$O$94,Stats!B61)</f>
        <v>0</v>
      </c>
      <c r="D61">
        <f>COUNTIF(Predictions!$F$95:$O$95,B61)</f>
        <v>2</v>
      </c>
      <c r="E61">
        <f>COUNTIF(Predictions!$F$96:$O$96,B61)</f>
        <v>2</v>
      </c>
      <c r="F61">
        <f>COUNTIF(Predictions!$F$97:$O$97,B61)</f>
        <v>1</v>
      </c>
      <c r="G61" s="82">
        <f t="shared" si="11"/>
        <v>5</v>
      </c>
      <c r="H61" s="87" t="s">
        <v>67</v>
      </c>
      <c r="I61" s="97" t="str">
        <f>_xlfn.XLOOKUP(MAX(E59:E62),E59:E62,B59:B62)</f>
        <v>Côte d'Ivoire</v>
      </c>
      <c r="J61">
        <f>IF(I61=Predictions!E96,1,0)</f>
        <v>0</v>
      </c>
      <c r="M61" s="26">
        <v>46199</v>
      </c>
      <c r="N61" s="38" t="s">
        <v>31</v>
      </c>
      <c r="O61" s="28" t="s">
        <v>33</v>
      </c>
      <c r="P61" s="28" t="s">
        <v>34</v>
      </c>
      <c r="Q61" s="56">
        <f t="shared" si="8"/>
        <v>0.8</v>
      </c>
      <c r="R61" s="56">
        <f t="shared" si="9"/>
        <v>0</v>
      </c>
      <c r="S61" s="56">
        <f t="shared" si="10"/>
        <v>0.2</v>
      </c>
      <c r="T61" s="113">
        <f>IF(_xlfn.XLOOKUP(MAX(Q61:S61),Q61:S61,$Q$1:$S$1)='Master Score'!G61,1,0)</f>
        <v>0</v>
      </c>
      <c r="U61" s="57" t="str">
        <v>X</v>
      </c>
      <c r="V61" s="1">
        <v>1</v>
      </c>
      <c r="W61" s="1">
        <v>1</v>
      </c>
      <c r="X61" s="1">
        <v>1</v>
      </c>
      <c r="Y61" s="1">
        <v>1</v>
      </c>
      <c r="AV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</row>
    <row r="62" spans="1:65" ht="15.75" thickBot="1" x14ac:dyDescent="0.3">
      <c r="A62" s="70" t="s">
        <v>26</v>
      </c>
      <c r="B62" s="64" t="s">
        <v>27</v>
      </c>
      <c r="C62" s="64">
        <f>COUNTIF(Predictions!$F$94:$O$94,Stats!B62)</f>
        <v>5</v>
      </c>
      <c r="D62" s="64">
        <f>COUNTIF(Predictions!$F$95:$O$95,B62)</f>
        <v>0</v>
      </c>
      <c r="E62" s="64">
        <f>COUNTIF(Predictions!$F$96:$O$96,B62)</f>
        <v>0</v>
      </c>
      <c r="F62" s="84">
        <f>COUNTIF(Predictions!$F$97:$O$97,B62)</f>
        <v>0</v>
      </c>
      <c r="G62" s="83">
        <f t="shared" si="11"/>
        <v>5</v>
      </c>
      <c r="H62" s="89" t="s">
        <v>68</v>
      </c>
      <c r="I62" s="98" t="str">
        <f>_xlfn.XLOOKUP(MAX(F59:F62),F59:F62,B59:B62)</f>
        <v>Curaçao</v>
      </c>
      <c r="J62">
        <f>IF(I62=Predictions!E97,1,0)</f>
        <v>0</v>
      </c>
      <c r="M62" s="26">
        <v>46199</v>
      </c>
      <c r="N62" s="42" t="s">
        <v>46</v>
      </c>
      <c r="O62" s="28" t="s">
        <v>50</v>
      </c>
      <c r="P62" s="28" t="s">
        <v>47</v>
      </c>
      <c r="Q62" s="56">
        <f t="shared" si="8"/>
        <v>0</v>
      </c>
      <c r="R62" s="56">
        <f t="shared" si="9"/>
        <v>0.8</v>
      </c>
      <c r="S62" s="56">
        <f t="shared" si="10"/>
        <v>0.2</v>
      </c>
      <c r="T62" s="113">
        <f>IF(_xlfn.XLOOKUP(MAX(Q62:S62),Q62:S62,$Q$1:$S$1)='Master Score'!G62,1,0)</f>
        <v>0</v>
      </c>
      <c r="U62" s="57">
        <v>2</v>
      </c>
      <c r="V62" s="1" t="str">
        <v>X</v>
      </c>
      <c r="W62" s="1">
        <v>2</v>
      </c>
      <c r="X62" s="1">
        <v>2</v>
      </c>
      <c r="Y62" s="1">
        <v>2</v>
      </c>
      <c r="AV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</row>
    <row r="63" spans="1:65" x14ac:dyDescent="0.25">
      <c r="A63" s="69" t="s">
        <v>31</v>
      </c>
      <c r="B63" t="s">
        <v>33</v>
      </c>
      <c r="C63">
        <f>COUNTIF(Predictions!$F$98:$O$98,Stats!B63)</f>
        <v>0</v>
      </c>
      <c r="D63">
        <f>COUNTIF(Predictions!$F$99:$O$99,B63)</f>
        <v>5</v>
      </c>
      <c r="E63">
        <f>COUNTIF(Predictions!$F$100:$O$100,B63)</f>
        <v>0</v>
      </c>
      <c r="F63">
        <f>COUNTIF(Predictions!$F$101:$O$101,B63)</f>
        <v>0</v>
      </c>
      <c r="G63" s="82">
        <f t="shared" si="11"/>
        <v>5</v>
      </c>
      <c r="H63" s="87" t="s">
        <v>70</v>
      </c>
      <c r="I63" s="99" t="str">
        <f>_xlfn.XLOOKUP(MAX(C63:C66),C63:C66,B63:B66)</f>
        <v>Netherlands</v>
      </c>
      <c r="J63">
        <f>IF(I63=Predictions!E98,1,0)</f>
        <v>0</v>
      </c>
      <c r="M63" s="29">
        <v>46199</v>
      </c>
      <c r="N63" s="43" t="s">
        <v>46</v>
      </c>
      <c r="O63" s="31" t="s">
        <v>48</v>
      </c>
      <c r="P63" s="31" t="s">
        <v>49</v>
      </c>
      <c r="Q63" s="56">
        <f t="shared" si="8"/>
        <v>1</v>
      </c>
      <c r="R63" s="56">
        <f t="shared" si="9"/>
        <v>0</v>
      </c>
      <c r="S63" s="56">
        <f t="shared" si="10"/>
        <v>0</v>
      </c>
      <c r="T63" s="113">
        <f>IF(_xlfn.XLOOKUP(MAX(Q63:S63),Q63:S63,$Q$1:$S$1)='Master Score'!G63,1,0)</f>
        <v>0</v>
      </c>
      <c r="U63" s="57">
        <v>1</v>
      </c>
      <c r="V63" s="1">
        <v>1</v>
      </c>
      <c r="W63" s="1">
        <v>1</v>
      </c>
      <c r="X63" s="1">
        <v>1</v>
      </c>
      <c r="Y63" s="1">
        <v>1</v>
      </c>
      <c r="AV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</row>
    <row r="64" spans="1:65" x14ac:dyDescent="0.25">
      <c r="A64" s="69" t="s">
        <v>31</v>
      </c>
      <c r="B64" t="s">
        <v>32</v>
      </c>
      <c r="C64">
        <f>COUNTIF(Predictions!$F$98:$O$98,Stats!B64)</f>
        <v>5</v>
      </c>
      <c r="D64">
        <f>COUNTIF(Predictions!$F$99:$O$99,B64)</f>
        <v>0</v>
      </c>
      <c r="E64">
        <f>COUNTIF(Predictions!$F$100:$O$100,B64)</f>
        <v>0</v>
      </c>
      <c r="F64">
        <f>COUNTIF(Predictions!$F$101:$O$101,B64)</f>
        <v>0</v>
      </c>
      <c r="G64" s="82">
        <f t="shared" si="11"/>
        <v>5</v>
      </c>
      <c r="H64" s="87" t="s">
        <v>71</v>
      </c>
      <c r="I64" s="99" t="str">
        <f>_xlfn.XLOOKUP(MAX(D63:D66),D63:D66,B63:B66)</f>
        <v>Japan</v>
      </c>
      <c r="J64">
        <f>IF(I64=Predictions!E99,1,0)</f>
        <v>0</v>
      </c>
      <c r="M64" s="26">
        <v>46200</v>
      </c>
      <c r="N64" s="39" t="s">
        <v>36</v>
      </c>
      <c r="O64" s="28" t="s">
        <v>40</v>
      </c>
      <c r="P64" s="28" t="s">
        <v>37</v>
      </c>
      <c r="Q64" s="56">
        <f t="shared" si="8"/>
        <v>0</v>
      </c>
      <c r="R64" s="56">
        <f t="shared" si="9"/>
        <v>1</v>
      </c>
      <c r="S64" s="56">
        <f t="shared" si="10"/>
        <v>0</v>
      </c>
      <c r="T64" s="113">
        <f>IF(_xlfn.XLOOKUP(MAX(Q64:S64),Q64:S64,$Q$1:$S$1)='Master Score'!G64,1,0)</f>
        <v>0</v>
      </c>
      <c r="U64" s="57">
        <v>2</v>
      </c>
      <c r="V64" s="1">
        <v>2</v>
      </c>
      <c r="W64" s="1">
        <v>2</v>
      </c>
      <c r="X64" s="1">
        <v>2</v>
      </c>
      <c r="Y64" s="1">
        <v>2</v>
      </c>
      <c r="AV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</row>
    <row r="65" spans="1:65" x14ac:dyDescent="0.25">
      <c r="A65" s="69" t="s">
        <v>31</v>
      </c>
      <c r="B65" t="s">
        <v>34</v>
      </c>
      <c r="C65">
        <f>COUNTIF(Predictions!$F$98:$O$98,Stats!B65)</f>
        <v>0</v>
      </c>
      <c r="D65">
        <f>COUNTIF(Predictions!$F$99:$O$99,B65)</f>
        <v>0</v>
      </c>
      <c r="E65">
        <f>COUNTIF(Predictions!$F$100:$O$100,B65)</f>
        <v>3</v>
      </c>
      <c r="F65">
        <f>COUNTIF(Predictions!$F$101:$O$101,B65)</f>
        <v>2</v>
      </c>
      <c r="G65" s="82">
        <f t="shared" si="11"/>
        <v>5</v>
      </c>
      <c r="H65" s="87" t="s">
        <v>67</v>
      </c>
      <c r="I65" s="99" t="str">
        <f>_xlfn.XLOOKUP(MAX(E63:E66),E63:E66,B63:B66)</f>
        <v>Sweden</v>
      </c>
      <c r="J65">
        <f>IF(I65=Predictions!E100,1,0)</f>
        <v>1</v>
      </c>
      <c r="M65" s="26">
        <v>46200</v>
      </c>
      <c r="N65" s="39" t="s">
        <v>36</v>
      </c>
      <c r="O65" s="28" t="s">
        <v>38</v>
      </c>
      <c r="P65" s="28" t="s">
        <v>39</v>
      </c>
      <c r="Q65" s="56">
        <f t="shared" si="8"/>
        <v>0</v>
      </c>
      <c r="R65" s="56">
        <f t="shared" si="9"/>
        <v>0.2</v>
      </c>
      <c r="S65" s="56">
        <f t="shared" si="10"/>
        <v>0.8</v>
      </c>
      <c r="T65" s="113">
        <f>IF(_xlfn.XLOOKUP(MAX(Q65:S65),Q65:S65,$Q$1:$S$1)='Master Score'!G65,1,0)</f>
        <v>0</v>
      </c>
      <c r="U65" s="57" t="str">
        <v>X</v>
      </c>
      <c r="V65" s="1" t="str">
        <v>X</v>
      </c>
      <c r="W65" s="1" t="str">
        <v>X</v>
      </c>
      <c r="X65" s="1" t="str">
        <v>X</v>
      </c>
      <c r="Y65" s="1">
        <v>2</v>
      </c>
      <c r="AV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</row>
    <row r="66" spans="1:65" ht="15.75" thickBot="1" x14ac:dyDescent="0.3">
      <c r="A66" s="70" t="s">
        <v>31</v>
      </c>
      <c r="B66" s="64" t="s">
        <v>35</v>
      </c>
      <c r="C66" s="64">
        <f>COUNTIF(Predictions!$F$98:$O$98,Stats!B66)</f>
        <v>0</v>
      </c>
      <c r="D66" s="64">
        <f>COUNTIF(Predictions!$F$99:$O$99,B66)</f>
        <v>0</v>
      </c>
      <c r="E66" s="64">
        <f>COUNTIF(Predictions!$F$100:$O$100,B66)</f>
        <v>2</v>
      </c>
      <c r="F66" s="84">
        <f>COUNTIF(Predictions!$F$101:$O$101,B66)</f>
        <v>3</v>
      </c>
      <c r="G66" s="83">
        <f t="shared" si="11"/>
        <v>5</v>
      </c>
      <c r="H66" s="89" t="s">
        <v>68</v>
      </c>
      <c r="I66" s="100" t="str">
        <f>_xlfn.XLOOKUP(MAX(F63:F66),F63:F66,B63:B66)</f>
        <v>Tunisia</v>
      </c>
      <c r="J66">
        <f>IF(I66=Predictions!E101,1,0)</f>
        <v>1</v>
      </c>
      <c r="M66" s="26">
        <v>46200</v>
      </c>
      <c r="N66" s="40" t="s">
        <v>41</v>
      </c>
      <c r="O66" s="28" t="s">
        <v>45</v>
      </c>
      <c r="P66" s="28" t="s">
        <v>42</v>
      </c>
      <c r="Q66" s="56">
        <f t="shared" ref="Q66:Q73" si="12">IFERROR(COUNTIF(U66:Y66,1)/(COUNT(U66:Y66)+COUNTIF(U66:Y66,"X")),0)</f>
        <v>0</v>
      </c>
      <c r="R66" s="56">
        <f t="shared" ref="R66:R73" si="13">IFERROR(COUNTIF(U66:Y66,2)/(COUNT(U66:Y66)+COUNTIF(U66:Y66,"X")),0)</f>
        <v>1</v>
      </c>
      <c r="S66" s="56">
        <f t="shared" ref="S66:S73" si="14">IFERROR(COUNTIF(U66:Y66,"X")/(COUNT(U66:Y66)+COUNTIF(U66:Y66,"X")),0)</f>
        <v>0</v>
      </c>
      <c r="T66" s="113">
        <f>IF(_xlfn.XLOOKUP(MAX(Q66:S66),Q66:S66,$Q$1:$S$1)='Master Score'!G66,1,0)</f>
        <v>0</v>
      </c>
      <c r="U66" s="57">
        <v>2</v>
      </c>
      <c r="V66" s="1">
        <v>2</v>
      </c>
      <c r="W66" s="1">
        <v>2</v>
      </c>
      <c r="X66" s="1">
        <v>2</v>
      </c>
      <c r="Y66" s="1">
        <v>2</v>
      </c>
      <c r="AV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</row>
    <row r="67" spans="1:65" x14ac:dyDescent="0.25">
      <c r="A67" s="69" t="s">
        <v>36</v>
      </c>
      <c r="B67" t="s">
        <v>37</v>
      </c>
      <c r="C67">
        <f>COUNTIF(Predictions!$F$102:$O$102,Stats!B67)</f>
        <v>5</v>
      </c>
      <c r="D67">
        <f>COUNTIF(Predictions!$F$103:$O$103,B67)</f>
        <v>0</v>
      </c>
      <c r="E67">
        <f>COUNTIF(Predictions!$F$104:$O$104,B67)</f>
        <v>0</v>
      </c>
      <c r="F67">
        <f>COUNTIF(Predictions!$F$105:$O$105,B67)</f>
        <v>0</v>
      </c>
      <c r="G67" s="82">
        <f t="shared" si="11"/>
        <v>5</v>
      </c>
      <c r="H67" s="87" t="s">
        <v>70</v>
      </c>
      <c r="I67" s="101" t="str">
        <f>_xlfn.XLOOKUP(MAX(C67:C70),C67:C70,B67:B70)</f>
        <v>Belgium</v>
      </c>
      <c r="J67">
        <f>IF(I67=Predictions!E102,1,0)</f>
        <v>1</v>
      </c>
      <c r="M67" s="26">
        <v>46200</v>
      </c>
      <c r="N67" s="40" t="s">
        <v>41</v>
      </c>
      <c r="O67" s="28" t="s">
        <v>43</v>
      </c>
      <c r="P67" s="28" t="s">
        <v>44</v>
      </c>
      <c r="Q67" s="56">
        <f t="shared" si="12"/>
        <v>0</v>
      </c>
      <c r="R67" s="56">
        <f t="shared" si="13"/>
        <v>0.8</v>
      </c>
      <c r="S67" s="56">
        <f t="shared" si="14"/>
        <v>0.2</v>
      </c>
      <c r="T67" s="113">
        <f>IF(_xlfn.XLOOKUP(MAX(Q67:S67),Q67:S67,$Q$1:$S$1)='Master Score'!G67,1,0)</f>
        <v>0</v>
      </c>
      <c r="U67" s="57">
        <v>2</v>
      </c>
      <c r="V67" s="1">
        <v>2</v>
      </c>
      <c r="W67" s="1" t="str">
        <v>X</v>
      </c>
      <c r="X67" s="1">
        <v>2</v>
      </c>
      <c r="Y67" s="1">
        <v>2</v>
      </c>
      <c r="AV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</row>
    <row r="68" spans="1:65" x14ac:dyDescent="0.25">
      <c r="A68" s="69" t="s">
        <v>36</v>
      </c>
      <c r="B68" t="s">
        <v>38</v>
      </c>
      <c r="C68">
        <f>COUNTIF(Predictions!$F$102:$O$102,Stats!B68)</f>
        <v>0</v>
      </c>
      <c r="D68">
        <f>COUNTIF(Predictions!$F$103:$O$103,B68)</f>
        <v>2</v>
      </c>
      <c r="E68">
        <f>COUNTIF(Predictions!$F$104:$O$104,B68)</f>
        <v>3</v>
      </c>
      <c r="F68">
        <f>COUNTIF(Predictions!$F$105:$O$105,B68)</f>
        <v>0</v>
      </c>
      <c r="G68" s="82">
        <f t="shared" si="11"/>
        <v>5</v>
      </c>
      <c r="H68" s="87" t="s">
        <v>71</v>
      </c>
      <c r="I68" s="101" t="str">
        <f>_xlfn.XLOOKUP(MAX(D67:D70),D67:D70,B67:B70)</f>
        <v>IR Iran</v>
      </c>
      <c r="J68">
        <f>IF(I68=Predictions!E103,1,0)</f>
        <v>0</v>
      </c>
      <c r="M68" s="26">
        <v>46200</v>
      </c>
      <c r="N68" s="47" t="s">
        <v>61</v>
      </c>
      <c r="O68" s="28" t="s">
        <v>65</v>
      </c>
      <c r="P68" s="28" t="s">
        <v>62</v>
      </c>
      <c r="Q68" s="56">
        <f t="shared" si="12"/>
        <v>0</v>
      </c>
      <c r="R68" s="56">
        <f t="shared" si="13"/>
        <v>1</v>
      </c>
      <c r="S68" s="56">
        <f t="shared" si="14"/>
        <v>0</v>
      </c>
      <c r="T68" s="113">
        <f>IF(_xlfn.XLOOKUP(MAX(Q68:S68),Q68:S68,$Q$1:$S$1)='Master Score'!G68,1,0)</f>
        <v>0</v>
      </c>
      <c r="U68" s="57">
        <v>2</v>
      </c>
      <c r="V68" s="1">
        <v>2</v>
      </c>
      <c r="W68" s="1">
        <v>2</v>
      </c>
      <c r="X68" s="1">
        <v>2</v>
      </c>
      <c r="Y68" s="1">
        <v>2</v>
      </c>
      <c r="AV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</row>
    <row r="69" spans="1:65" x14ac:dyDescent="0.25">
      <c r="A69" s="69" t="s">
        <v>36</v>
      </c>
      <c r="B69" t="s">
        <v>39</v>
      </c>
      <c r="C69">
        <f>COUNTIF(Predictions!$F$102:$O$102,Stats!B69)</f>
        <v>0</v>
      </c>
      <c r="D69">
        <f>COUNTIF(Predictions!$F$103:$O$103,B69)</f>
        <v>3</v>
      </c>
      <c r="E69">
        <f>COUNTIF(Predictions!$F$104:$O$104,B69)</f>
        <v>2</v>
      </c>
      <c r="F69">
        <f>COUNTIF(Predictions!$F$105:$O$105,B69)</f>
        <v>0</v>
      </c>
      <c r="G69" s="82">
        <f t="shared" si="11"/>
        <v>5</v>
      </c>
      <c r="H69" s="87" t="s">
        <v>67</v>
      </c>
      <c r="I69" s="101" t="str">
        <f>_xlfn.XLOOKUP(MAX(E67:E70),E67:E70,B67:B70)</f>
        <v>Egypt</v>
      </c>
      <c r="J69">
        <f>IF(I69=Predictions!E104,1,0)</f>
        <v>0</v>
      </c>
      <c r="M69" s="29">
        <v>46200</v>
      </c>
      <c r="N69" s="46" t="s">
        <v>61</v>
      </c>
      <c r="O69" s="31" t="s">
        <v>63</v>
      </c>
      <c r="P69" s="31" t="s">
        <v>64</v>
      </c>
      <c r="Q69" s="56">
        <f t="shared" si="12"/>
        <v>0.6</v>
      </c>
      <c r="R69" s="56">
        <f t="shared" si="13"/>
        <v>0</v>
      </c>
      <c r="S69" s="56">
        <f t="shared" si="14"/>
        <v>0.4</v>
      </c>
      <c r="T69" s="113">
        <f>IF(_xlfn.XLOOKUP(MAX(Q69:S69),Q69:S69,$Q$1:$S$1)='Master Score'!G69,1,0)</f>
        <v>0</v>
      </c>
      <c r="U69" s="57">
        <v>1</v>
      </c>
      <c r="V69" s="1">
        <v>1</v>
      </c>
      <c r="W69" s="1" t="str">
        <v>X</v>
      </c>
      <c r="X69" s="1">
        <v>1</v>
      </c>
      <c r="Y69" s="1" t="str">
        <v>X</v>
      </c>
      <c r="AV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</row>
    <row r="70" spans="1:65" ht="15.75" thickBot="1" x14ac:dyDescent="0.3">
      <c r="A70" s="70" t="s">
        <v>36</v>
      </c>
      <c r="B70" s="64" t="s">
        <v>40</v>
      </c>
      <c r="C70" s="64">
        <f>COUNTIF(Predictions!$F$102:$O$102,Stats!B70)</f>
        <v>0</v>
      </c>
      <c r="D70" s="64">
        <f>COUNTIF(Predictions!$F$103:$O$103,B70)</f>
        <v>0</v>
      </c>
      <c r="E70" s="64">
        <f>COUNTIF(Predictions!$F$104:$O$104,B70)</f>
        <v>0</v>
      </c>
      <c r="F70" s="84">
        <f>COUNTIF(Predictions!$F$105:$O$105,B70)</f>
        <v>5</v>
      </c>
      <c r="G70" s="83">
        <f t="shared" si="11"/>
        <v>5</v>
      </c>
      <c r="H70" s="89" t="s">
        <v>68</v>
      </c>
      <c r="I70" s="102" t="str">
        <f>_xlfn.XLOOKUP(MAX(F67:F70),F67:F70,B67:B70)</f>
        <v>New Zealand</v>
      </c>
      <c r="J70">
        <f>IF(I70=Predictions!E105,1,0)</f>
        <v>1</v>
      </c>
      <c r="M70" s="26">
        <v>46201</v>
      </c>
      <c r="N70" s="44" t="s">
        <v>51</v>
      </c>
      <c r="O70" s="28" t="s">
        <v>55</v>
      </c>
      <c r="P70" s="28" t="s">
        <v>52</v>
      </c>
      <c r="Q70" s="56">
        <f t="shared" si="12"/>
        <v>0</v>
      </c>
      <c r="R70" s="56">
        <f t="shared" si="13"/>
        <v>1</v>
      </c>
      <c r="S70" s="56">
        <f t="shared" si="14"/>
        <v>0</v>
      </c>
      <c r="T70" s="113">
        <f>IF(_xlfn.XLOOKUP(MAX(Q70:S70),Q70:S70,$Q$1:$S$1)='Master Score'!G70,1,0)</f>
        <v>0</v>
      </c>
      <c r="U70" s="57">
        <v>2</v>
      </c>
      <c r="V70" s="1">
        <v>2</v>
      </c>
      <c r="W70" s="1">
        <v>2</v>
      </c>
      <c r="X70" s="1">
        <v>2</v>
      </c>
      <c r="Y70" s="1">
        <v>2</v>
      </c>
      <c r="AV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</row>
    <row r="71" spans="1:65" x14ac:dyDescent="0.25">
      <c r="A71" s="69" t="s">
        <v>41</v>
      </c>
      <c r="B71" t="s">
        <v>43</v>
      </c>
      <c r="C71">
        <f>COUNTIF(Predictions!$F$106:$O$106,Stats!B71)</f>
        <v>0</v>
      </c>
      <c r="D71">
        <f>COUNTIF(Predictions!$F$107:$O$107,B71)</f>
        <v>0</v>
      </c>
      <c r="E71">
        <f>COUNTIF(Predictions!$F$108:$O$108,B71)</f>
        <v>0</v>
      </c>
      <c r="F71">
        <f>COUNTIF(Predictions!$F$109:$O$109,B71)</f>
        <v>5</v>
      </c>
      <c r="G71" s="82">
        <f t="shared" si="11"/>
        <v>5</v>
      </c>
      <c r="H71" s="87" t="s">
        <v>70</v>
      </c>
      <c r="I71" s="103" t="str">
        <f>_xlfn.XLOOKUP(MAX(C71:C74),C71:C74,B71:B74)</f>
        <v>Spain</v>
      </c>
      <c r="J71">
        <f>IF(I71=Predictions!E106,1,0)</f>
        <v>0</v>
      </c>
      <c r="M71" s="26">
        <v>46201</v>
      </c>
      <c r="N71" s="44" t="s">
        <v>51</v>
      </c>
      <c r="O71" s="28" t="s">
        <v>53</v>
      </c>
      <c r="P71" s="28" t="s">
        <v>54</v>
      </c>
      <c r="Q71" s="56">
        <f t="shared" si="12"/>
        <v>0.4</v>
      </c>
      <c r="R71" s="56">
        <f t="shared" si="13"/>
        <v>0.2</v>
      </c>
      <c r="S71" s="56">
        <f t="shared" si="14"/>
        <v>0.4</v>
      </c>
      <c r="T71" s="113">
        <f>IF(_xlfn.XLOOKUP(MAX(Q71:S71),Q71:S71,$Q$1:$S$1)='Master Score'!G71,1,0)</f>
        <v>0</v>
      </c>
      <c r="U71" s="57" t="str">
        <v>X</v>
      </c>
      <c r="V71" s="1">
        <v>1</v>
      </c>
      <c r="W71" s="1">
        <v>1</v>
      </c>
      <c r="X71" s="1" t="str">
        <v>X</v>
      </c>
      <c r="Y71" s="1">
        <v>2</v>
      </c>
      <c r="AV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</row>
    <row r="72" spans="1:65" x14ac:dyDescent="0.25">
      <c r="A72" s="69" t="s">
        <v>41</v>
      </c>
      <c r="B72" t="s">
        <v>44</v>
      </c>
      <c r="C72">
        <f>COUNTIF(Predictions!$F$106:$O$106,Stats!B72)</f>
        <v>0</v>
      </c>
      <c r="D72">
        <f>COUNTIF(Predictions!$F$107:$O$107,B72)</f>
        <v>0</v>
      </c>
      <c r="E72">
        <f>COUNTIF(Predictions!$F$108:$O$108,B72)</f>
        <v>5</v>
      </c>
      <c r="F72">
        <f>COUNTIF(Predictions!$F$109:$O$109,B72)</f>
        <v>0</v>
      </c>
      <c r="G72" s="82">
        <f t="shared" si="11"/>
        <v>5</v>
      </c>
      <c r="H72" s="87" t="s">
        <v>71</v>
      </c>
      <c r="I72" s="103" t="str">
        <f>_xlfn.XLOOKUP(MAX(D71:D74),D71:D74,B71:B74)</f>
        <v>Uruguay</v>
      </c>
      <c r="J72">
        <f>IF(I72=Predictions!E107,1,0)</f>
        <v>0</v>
      </c>
      <c r="M72" s="26">
        <v>46201</v>
      </c>
      <c r="N72" s="45" t="s">
        <v>56</v>
      </c>
      <c r="O72" s="28" t="s">
        <v>60</v>
      </c>
      <c r="P72" s="28" t="s">
        <v>57</v>
      </c>
      <c r="Q72" s="56">
        <f t="shared" si="12"/>
        <v>0</v>
      </c>
      <c r="R72" s="56">
        <f t="shared" si="13"/>
        <v>0.8</v>
      </c>
      <c r="S72" s="56">
        <f t="shared" si="14"/>
        <v>0.2</v>
      </c>
      <c r="T72" s="113">
        <f>IF(_xlfn.XLOOKUP(MAX(Q72:S72),Q72:S72,$Q$1:$S$1)='Master Score'!G72,1,0)</f>
        <v>0</v>
      </c>
      <c r="U72" s="57">
        <v>2</v>
      </c>
      <c r="V72" s="1" t="str">
        <v>X</v>
      </c>
      <c r="W72" s="1">
        <v>2</v>
      </c>
      <c r="X72" s="1">
        <v>2</v>
      </c>
      <c r="Y72" s="1">
        <v>2</v>
      </c>
      <c r="AV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</row>
    <row r="73" spans="1:65" x14ac:dyDescent="0.25">
      <c r="A73" s="69" t="s">
        <v>41</v>
      </c>
      <c r="B73" t="s">
        <v>42</v>
      </c>
      <c r="C73">
        <f>COUNTIF(Predictions!$F$106:$O$106,Stats!B73)</f>
        <v>5</v>
      </c>
      <c r="D73">
        <f>COUNTIF(Predictions!$F$107:$O$107,B73)</f>
        <v>0</v>
      </c>
      <c r="E73">
        <f>COUNTIF(Predictions!$F$108:$O$108,B73)</f>
        <v>0</v>
      </c>
      <c r="F73">
        <f>COUNTIF(Predictions!$F$109:$O$109,B73)</f>
        <v>0</v>
      </c>
      <c r="G73" s="82">
        <f t="shared" si="11"/>
        <v>5</v>
      </c>
      <c r="H73" s="87" t="s">
        <v>67</v>
      </c>
      <c r="I73" s="103" t="str">
        <f>_xlfn.XLOOKUP(MAX(E71:E74),E71:E74,B71:B74)</f>
        <v>Saudi Arabia</v>
      </c>
      <c r="J73">
        <f>IF(I73=Predictions!E108,1,0)</f>
        <v>0</v>
      </c>
      <c r="M73" s="29">
        <v>46201</v>
      </c>
      <c r="N73" s="51" t="s">
        <v>56</v>
      </c>
      <c r="O73" s="31" t="s">
        <v>58</v>
      </c>
      <c r="P73" s="31" t="s">
        <v>59</v>
      </c>
      <c r="Q73" s="56">
        <f t="shared" si="12"/>
        <v>0.8</v>
      </c>
      <c r="R73" s="56">
        <f t="shared" si="13"/>
        <v>0</v>
      </c>
      <c r="S73" s="56">
        <f t="shared" si="14"/>
        <v>0.2</v>
      </c>
      <c r="T73" s="113">
        <f>IF(_xlfn.XLOOKUP(MAX(Q73:S73),Q73:S73,$Q$1:$S$1)='Master Score'!G73,1,0)</f>
        <v>0</v>
      </c>
      <c r="U73" s="57">
        <v>1</v>
      </c>
      <c r="V73" s="1">
        <v>1</v>
      </c>
      <c r="W73" s="1" t="str">
        <v>X</v>
      </c>
      <c r="X73" s="1">
        <v>1</v>
      </c>
      <c r="Y73" s="1">
        <v>1</v>
      </c>
      <c r="AV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</row>
    <row r="74" spans="1:65" ht="15.75" thickBot="1" x14ac:dyDescent="0.3">
      <c r="A74" s="70" t="s">
        <v>41</v>
      </c>
      <c r="B74" s="64" t="s">
        <v>45</v>
      </c>
      <c r="C74" s="64">
        <f>COUNTIF(Predictions!$F$106:$O$106,Stats!B74)</f>
        <v>0</v>
      </c>
      <c r="D74" s="64">
        <f>COUNTIF(Predictions!$F$107:$O$107,B74)</f>
        <v>5</v>
      </c>
      <c r="E74" s="64">
        <f>COUNTIF(Predictions!$F$108:$O$108,B74)</f>
        <v>0</v>
      </c>
      <c r="F74" s="84">
        <f>COUNTIF(Predictions!$F$109:$O$109,B74)</f>
        <v>0</v>
      </c>
      <c r="G74" s="83">
        <f t="shared" si="11"/>
        <v>5</v>
      </c>
      <c r="H74" s="89" t="s">
        <v>68</v>
      </c>
      <c r="I74" s="104" t="str">
        <f>_xlfn.XLOOKUP(MAX(F71:F74),F71:F74,B71:B74)</f>
        <v>Cabo Verde</v>
      </c>
      <c r="J74">
        <f>IF(I74=Predictions!E109,1,0)</f>
        <v>0</v>
      </c>
      <c r="T74" s="56">
        <f>SUM(T2:T73)/COUNTA(T2:T73)</f>
        <v>2.7777777777777776E-2</v>
      </c>
    </row>
    <row r="75" spans="1:65" x14ac:dyDescent="0.25">
      <c r="A75" s="69" t="s">
        <v>46</v>
      </c>
      <c r="B75" t="s">
        <v>47</v>
      </c>
      <c r="C75">
        <f>COUNTIF(Predictions!$F$110:$O$110,Stats!B75)</f>
        <v>5</v>
      </c>
      <c r="D75">
        <f>COUNTIF(Predictions!$F$111:$O$111,B75)</f>
        <v>0</v>
      </c>
      <c r="E75">
        <f>COUNTIF(Predictions!$F$112:$O$112,B75)</f>
        <v>0</v>
      </c>
      <c r="F75">
        <f>COUNTIF(Predictions!$F$113:$O$113,B75)</f>
        <v>0</v>
      </c>
      <c r="G75" s="82">
        <f t="shared" si="11"/>
        <v>5</v>
      </c>
      <c r="H75" s="87" t="s">
        <v>70</v>
      </c>
      <c r="I75" s="105" t="str">
        <f>_xlfn.XLOOKUP(MAX(C75:C78),C75:C78,B75:B78)</f>
        <v>France</v>
      </c>
      <c r="J75">
        <f>IF(I75=Predictions!E110,1,0)</f>
        <v>1</v>
      </c>
    </row>
    <row r="76" spans="1:65" x14ac:dyDescent="0.25">
      <c r="A76" s="69" t="s">
        <v>46</v>
      </c>
      <c r="B76" t="s">
        <v>49</v>
      </c>
      <c r="C76">
        <f>COUNTIF(Predictions!$F$110:$O$110,Stats!B76)</f>
        <v>0</v>
      </c>
      <c r="D76">
        <f>COUNTIF(Predictions!$F$111:$O$111,B76)</f>
        <v>0</v>
      </c>
      <c r="E76">
        <f>COUNTIF(Predictions!$F$112:$O$112,B76)</f>
        <v>0</v>
      </c>
      <c r="F76">
        <f>COUNTIF(Predictions!$F$113:$O$113,B76)</f>
        <v>5</v>
      </c>
      <c r="G76" s="82">
        <f t="shared" si="11"/>
        <v>5</v>
      </c>
      <c r="H76" s="87" t="s">
        <v>71</v>
      </c>
      <c r="I76" s="105" t="str">
        <f>_xlfn.XLOOKUP(MAX(D75:D78),D75:D78,B75:B78)</f>
        <v>Senegal</v>
      </c>
      <c r="J76">
        <f>IF(I76=Predictions!E111,1,0)</f>
        <v>0</v>
      </c>
    </row>
    <row r="77" spans="1:65" x14ac:dyDescent="0.25">
      <c r="A77" s="69" t="s">
        <v>46</v>
      </c>
      <c r="B77" t="s">
        <v>50</v>
      </c>
      <c r="C77">
        <f>COUNTIF(Predictions!$F$110:$O$110,Stats!B77)</f>
        <v>0</v>
      </c>
      <c r="D77">
        <f>COUNTIF(Predictions!$F$111:$O$111,B77)</f>
        <v>2</v>
      </c>
      <c r="E77">
        <f>COUNTIF(Predictions!$F$112:$O$112,B77)</f>
        <v>3</v>
      </c>
      <c r="F77">
        <f>COUNTIF(Predictions!$F$113:$O$113,B77)</f>
        <v>0</v>
      </c>
      <c r="G77" s="82">
        <f t="shared" si="11"/>
        <v>5</v>
      </c>
      <c r="H77" s="87" t="s">
        <v>67</v>
      </c>
      <c r="I77" s="105" t="str">
        <f>_xlfn.XLOOKUP(MAX(E75:E78),E75:E78,B75:B78)</f>
        <v>Norway</v>
      </c>
      <c r="J77">
        <f>IF(I77=Predictions!E112,1,0)</f>
        <v>1</v>
      </c>
    </row>
    <row r="78" spans="1:65" ht="15.75" thickBot="1" x14ac:dyDescent="0.3">
      <c r="A78" s="70" t="s">
        <v>46</v>
      </c>
      <c r="B78" s="64" t="s">
        <v>48</v>
      </c>
      <c r="C78" s="64">
        <f>COUNTIF(Predictions!$F$110:$O$110,Stats!B78)</f>
        <v>0</v>
      </c>
      <c r="D78" s="64">
        <f>COUNTIF(Predictions!$F$111:$O$111,B78)</f>
        <v>3</v>
      </c>
      <c r="E78" s="64">
        <f>COUNTIF(Predictions!$F$112:$O$112,B78)</f>
        <v>2</v>
      </c>
      <c r="F78" s="84">
        <f>COUNTIF(Predictions!$F$113:$O$113,B78)</f>
        <v>0</v>
      </c>
      <c r="G78" s="83">
        <f t="shared" si="11"/>
        <v>5</v>
      </c>
      <c r="H78" s="89" t="s">
        <v>68</v>
      </c>
      <c r="I78" s="106" t="str">
        <f>_xlfn.XLOOKUP(MAX(F75:F78),F75:F78,B75:B78)</f>
        <v>Iraq</v>
      </c>
      <c r="J78">
        <f>IF(I78=Predictions!E113,1,0)</f>
        <v>0</v>
      </c>
    </row>
    <row r="79" spans="1:65" x14ac:dyDescent="0.25">
      <c r="A79" s="69" t="s">
        <v>51</v>
      </c>
      <c r="B79" t="s">
        <v>53</v>
      </c>
      <c r="C79">
        <f>COUNTIF(Predictions!$F$114:$O$114,Stats!B79)</f>
        <v>0</v>
      </c>
      <c r="D79">
        <f>COUNTIF(Predictions!$F$115:$O$115,B79)</f>
        <v>3</v>
      </c>
      <c r="E79">
        <f>COUNTIF(Predictions!$F$116:$O$116,B79)</f>
        <v>1</v>
      </c>
      <c r="F79">
        <f>COUNTIF(Predictions!$F$117:$O$117,B79)</f>
        <v>0</v>
      </c>
      <c r="G79" s="82">
        <f t="shared" si="11"/>
        <v>4</v>
      </c>
      <c r="H79" s="87" t="s">
        <v>70</v>
      </c>
      <c r="I79" s="107" t="str">
        <f>_xlfn.XLOOKUP(MAX(C79:C82),C79:C82,B79:B82)</f>
        <v>Argentina</v>
      </c>
      <c r="J79">
        <f>IF(I79=Predictions!E114,1,0)</f>
        <v>0</v>
      </c>
    </row>
    <row r="80" spans="1:65" x14ac:dyDescent="0.25">
      <c r="A80" s="69" t="s">
        <v>51</v>
      </c>
      <c r="B80" t="s">
        <v>52</v>
      </c>
      <c r="C80">
        <f>COUNTIF(Predictions!$F$114:$O$114,Stats!B80)</f>
        <v>5</v>
      </c>
      <c r="D80">
        <f>COUNTIF(Predictions!$F$115:$O$115,B80)</f>
        <v>0</v>
      </c>
      <c r="E80">
        <f>COUNTIF(Predictions!$F$116:$O$116,B80)</f>
        <v>0</v>
      </c>
      <c r="F80">
        <f>COUNTIF(Predictions!$F$117:$O$117,B80)</f>
        <v>0</v>
      </c>
      <c r="G80" s="82">
        <f t="shared" si="11"/>
        <v>5</v>
      </c>
      <c r="H80" s="87" t="s">
        <v>71</v>
      </c>
      <c r="I80" s="107" t="str">
        <f>_xlfn.XLOOKUP(MAX(D79:D82),D79:D82,B79:B82)</f>
        <v>Algeria</v>
      </c>
      <c r="J80">
        <f>IF(I80=Predictions!E115,1,0)</f>
        <v>0</v>
      </c>
    </row>
    <row r="81" spans="1:10" x14ac:dyDescent="0.25">
      <c r="A81" s="69" t="s">
        <v>51</v>
      </c>
      <c r="B81" t="s">
        <v>54</v>
      </c>
      <c r="C81">
        <f>COUNTIF(Predictions!$F$114:$O$114,Stats!B81)</f>
        <v>0</v>
      </c>
      <c r="D81">
        <f>COUNTIF(Predictions!$F$115:$O$115,B81)</f>
        <v>2</v>
      </c>
      <c r="E81">
        <f>COUNTIF(Predictions!$F$116:$O$116,B81)</f>
        <v>4</v>
      </c>
      <c r="F81">
        <f>COUNTIF(Predictions!$F$117:$O$117,B81)</f>
        <v>0</v>
      </c>
      <c r="G81" s="82">
        <f t="shared" si="11"/>
        <v>6</v>
      </c>
      <c r="H81" s="87" t="s">
        <v>67</v>
      </c>
      <c r="I81" s="107" t="str">
        <f>_xlfn.XLOOKUP(MAX(E79:E82),E79:E82,B79:B82)</f>
        <v>Austria</v>
      </c>
      <c r="J81">
        <f>IF(I81=Predictions!E116,1,0)</f>
        <v>1</v>
      </c>
    </row>
    <row r="82" spans="1:10" ht="15.75" thickBot="1" x14ac:dyDescent="0.3">
      <c r="A82" s="70" t="s">
        <v>51</v>
      </c>
      <c r="B82" s="64" t="s">
        <v>55</v>
      </c>
      <c r="C82" s="64">
        <f>COUNTIF(Predictions!$F$114:$O$114,Stats!B82)</f>
        <v>0</v>
      </c>
      <c r="D82" s="64">
        <f>COUNTIF(Predictions!$F$115:$O$115,B82)</f>
        <v>0</v>
      </c>
      <c r="E82" s="64">
        <f>COUNTIF(Predictions!$F$116:$O$116,B82)</f>
        <v>0</v>
      </c>
      <c r="F82" s="84">
        <f>COUNTIF(Predictions!$F$117:$O$117,B82)</f>
        <v>5</v>
      </c>
      <c r="G82" s="83">
        <f t="shared" si="11"/>
        <v>5</v>
      </c>
      <c r="H82" s="89" t="s">
        <v>68</v>
      </c>
      <c r="I82" s="108" t="str">
        <f>_xlfn.XLOOKUP(MAX(F79:F82),F79:F82,B79:B82)</f>
        <v>Jordan</v>
      </c>
      <c r="J82">
        <f>IF(I82=Predictions!E117,1,0)</f>
        <v>1</v>
      </c>
    </row>
    <row r="83" spans="1:10" x14ac:dyDescent="0.25">
      <c r="A83" s="69" t="s">
        <v>56</v>
      </c>
      <c r="B83" t="s">
        <v>60</v>
      </c>
      <c r="C83">
        <f>COUNTIF(Predictions!$F$118:$O$118,Stats!B83)</f>
        <v>0</v>
      </c>
      <c r="D83">
        <f>COUNTIF(Predictions!$F$119:$O$119,B83)</f>
        <v>5</v>
      </c>
      <c r="E83">
        <f>COUNTIF(Predictions!$F$120:$O$120,B83)</f>
        <v>0</v>
      </c>
      <c r="F83">
        <f>COUNTIF(Predictions!$F$121:$O$121,B83)</f>
        <v>0</v>
      </c>
      <c r="G83" s="82">
        <f t="shared" si="11"/>
        <v>5</v>
      </c>
      <c r="H83" s="87" t="s">
        <v>70</v>
      </c>
      <c r="I83" s="109" t="str">
        <f>_xlfn.XLOOKUP(MAX(C83:C86),C83:C86,B83:B86)</f>
        <v>Portugal</v>
      </c>
      <c r="J83">
        <f>IF(I83=Predictions!E118,1,0)</f>
        <v>0</v>
      </c>
    </row>
    <row r="84" spans="1:10" x14ac:dyDescent="0.25">
      <c r="A84" s="69" t="s">
        <v>56</v>
      </c>
      <c r="B84" t="s">
        <v>58</v>
      </c>
      <c r="C84">
        <f>COUNTIF(Predictions!$F$118:$O$118,Stats!B84)</f>
        <v>0</v>
      </c>
      <c r="D84">
        <f>COUNTIF(Predictions!$F$119:$O$119,B84)</f>
        <v>0</v>
      </c>
      <c r="E84">
        <f>COUNTIF(Predictions!$F$120:$O$120,B84)</f>
        <v>4</v>
      </c>
      <c r="F84">
        <f>COUNTIF(Predictions!$F$121:$O$121,B84)</f>
        <v>1</v>
      </c>
      <c r="G84" s="82">
        <f t="shared" si="11"/>
        <v>5</v>
      </c>
      <c r="H84" s="87" t="s">
        <v>71</v>
      </c>
      <c r="I84" s="109" t="str">
        <f>_xlfn.XLOOKUP(MAX(D83:D86),D83:D86,B83:B86)</f>
        <v>Colombia</v>
      </c>
      <c r="J84">
        <f>IF(I84=Predictions!E119,1,0)</f>
        <v>0</v>
      </c>
    </row>
    <row r="85" spans="1:10" x14ac:dyDescent="0.25">
      <c r="A85" s="69" t="s">
        <v>56</v>
      </c>
      <c r="B85" t="s">
        <v>57</v>
      </c>
      <c r="C85">
        <f>COUNTIF(Predictions!$F$118:$O$118,Stats!B85)</f>
        <v>5</v>
      </c>
      <c r="D85">
        <f>COUNTIF(Predictions!$F$119:$O$119,B85)</f>
        <v>0</v>
      </c>
      <c r="E85">
        <f>COUNTIF(Predictions!$F$120:$O$120,B85)</f>
        <v>0</v>
      </c>
      <c r="F85">
        <f>COUNTIF(Predictions!$F$121:$O$121,B85)</f>
        <v>0</v>
      </c>
      <c r="G85" s="82">
        <f t="shared" si="11"/>
        <v>5</v>
      </c>
      <c r="H85" s="87" t="s">
        <v>67</v>
      </c>
      <c r="I85" s="109" t="str">
        <f>_xlfn.XLOOKUP(MAX(E83:E86),E83:E86,B83:B86)</f>
        <v>Congo DR</v>
      </c>
      <c r="J85">
        <f>IF(I85=Predictions!E120,1,0)</f>
        <v>0</v>
      </c>
    </row>
    <row r="86" spans="1:10" ht="15.75" thickBot="1" x14ac:dyDescent="0.3">
      <c r="A86" s="70" t="s">
        <v>56</v>
      </c>
      <c r="B86" s="64" t="s">
        <v>59</v>
      </c>
      <c r="C86" s="64">
        <f>COUNTIF(Predictions!$F$118:$O$118,Stats!B86)</f>
        <v>0</v>
      </c>
      <c r="D86" s="64">
        <f>COUNTIF(Predictions!$F$119:$O$119,B86)</f>
        <v>0</v>
      </c>
      <c r="E86" s="64">
        <f>COUNTIF(Predictions!$F$120:$O$120,B86)</f>
        <v>1</v>
      </c>
      <c r="F86" s="84">
        <f>COUNTIF(Predictions!$F$121:$O$121,B86)</f>
        <v>4</v>
      </c>
      <c r="G86" s="83">
        <f t="shared" si="11"/>
        <v>5</v>
      </c>
      <c r="H86" s="89" t="s">
        <v>68</v>
      </c>
      <c r="I86" s="110" t="str">
        <f>_xlfn.XLOOKUP(MAX(F83:F86),F83:F86,B83:B86)</f>
        <v>Uzbekistan</v>
      </c>
      <c r="J86">
        <f>IF(I86=Predictions!E121,1,0)</f>
        <v>1</v>
      </c>
    </row>
    <row r="87" spans="1:10" x14ac:dyDescent="0.25">
      <c r="A87" s="69" t="s">
        <v>61</v>
      </c>
      <c r="B87" t="s">
        <v>63</v>
      </c>
      <c r="C87">
        <f>COUNTIF(Predictions!$F$122:$O$122,Stats!B87)</f>
        <v>1</v>
      </c>
      <c r="D87">
        <f>COUNTIF(Predictions!$F$123:$O$123,B87)</f>
        <v>4</v>
      </c>
      <c r="E87">
        <f>COUNTIF(Predictions!$F$124:$O$124,B87)</f>
        <v>0</v>
      </c>
      <c r="F87">
        <f>COUNTIF(Predictions!$F$125:$O$125,B87)</f>
        <v>0</v>
      </c>
      <c r="G87" s="82">
        <f t="shared" si="11"/>
        <v>5</v>
      </c>
      <c r="H87" s="87" t="s">
        <v>70</v>
      </c>
      <c r="I87" s="111" t="str">
        <f>_xlfn.XLOOKUP(MAX(C87:C90),C87:C90,B87:B90)</f>
        <v>England</v>
      </c>
      <c r="J87">
        <f>IF(I87=Predictions!E122,1,0)</f>
        <v>0</v>
      </c>
    </row>
    <row r="88" spans="1:10" x14ac:dyDescent="0.25">
      <c r="A88" s="69" t="s">
        <v>61</v>
      </c>
      <c r="B88" t="s">
        <v>62</v>
      </c>
      <c r="C88">
        <f>COUNTIF(Predictions!$F$122:$O$122,Stats!B88)</f>
        <v>4</v>
      </c>
      <c r="D88">
        <f>COUNTIF(Predictions!$F$123:$O$123,B88)</f>
        <v>1</v>
      </c>
      <c r="E88">
        <f>COUNTIF(Predictions!$F$124:$O$124,B88)</f>
        <v>0</v>
      </c>
      <c r="F88">
        <f>COUNTIF(Predictions!$F$125:$O$125,B88)</f>
        <v>0</v>
      </c>
      <c r="G88" s="82">
        <f t="shared" si="11"/>
        <v>5</v>
      </c>
      <c r="H88" s="87" t="s">
        <v>71</v>
      </c>
      <c r="I88" s="111" t="str">
        <f>_xlfn.XLOOKUP(MAX(D87:D90),D87:D90,B87:B90)</f>
        <v>Croatia</v>
      </c>
      <c r="J88">
        <f>IF(I88=Predictions!E123,1,0)</f>
        <v>0</v>
      </c>
    </row>
    <row r="89" spans="1:10" x14ac:dyDescent="0.25">
      <c r="A89" s="69" t="s">
        <v>61</v>
      </c>
      <c r="B89" t="s">
        <v>64</v>
      </c>
      <c r="C89">
        <f>COUNTIF(Predictions!$F$122:$O$122,Stats!B89)</f>
        <v>0</v>
      </c>
      <c r="D89">
        <f>COUNTIF(Predictions!$F$123:$O$123,B89)</f>
        <v>0</v>
      </c>
      <c r="E89">
        <f>COUNTIF(Predictions!$F$124:$O$124,B89)</f>
        <v>5</v>
      </c>
      <c r="F89">
        <f>COUNTIF(Predictions!$F$125:$O$125,B89)</f>
        <v>0</v>
      </c>
      <c r="G89" s="82">
        <f t="shared" si="11"/>
        <v>5</v>
      </c>
      <c r="H89" s="87" t="s">
        <v>67</v>
      </c>
      <c r="I89" s="111" t="str">
        <f>_xlfn.XLOOKUP(MAX(E87:E90),E87:E90,B87:B90)</f>
        <v>Ghana</v>
      </c>
      <c r="J89">
        <f>IF(I89=Predictions!E124,1,0)</f>
        <v>1</v>
      </c>
    </row>
    <row r="90" spans="1:10" ht="15.75" thickBot="1" x14ac:dyDescent="0.3">
      <c r="A90" s="70" t="s">
        <v>61</v>
      </c>
      <c r="B90" s="64" t="s">
        <v>65</v>
      </c>
      <c r="C90" s="64">
        <f>COUNTIF(Predictions!$F$122:$O$122,Stats!B90)</f>
        <v>0</v>
      </c>
      <c r="D90" s="64">
        <f>COUNTIF(Predictions!$F$123:$O$123,B90)</f>
        <v>0</v>
      </c>
      <c r="E90" s="64">
        <f>COUNTIF(Predictions!$F$124:$O$124,B90)</f>
        <v>0</v>
      </c>
      <c r="F90" s="84">
        <f>COUNTIF(Predictions!$F$125:$O$125,B90)</f>
        <v>5</v>
      </c>
      <c r="G90" s="83">
        <f t="shared" si="11"/>
        <v>5</v>
      </c>
      <c r="H90" s="89" t="s">
        <v>68</v>
      </c>
      <c r="I90" s="112" t="str">
        <f>_xlfn.XLOOKUP(MAX(F87:F90),F87:F90,B87:B90)</f>
        <v>Panama</v>
      </c>
      <c r="J90">
        <f>IF(I90=Predictions!E125,1,0)</f>
        <v>1</v>
      </c>
    </row>
  </sheetData>
  <conditionalFormatting sqref="A43:A90">
    <cfRule type="cellIs" dxfId="82" priority="26" operator="equal">
      <formula>"A"</formula>
    </cfRule>
    <cfRule type="cellIs" dxfId="81" priority="27" operator="equal">
      <formula>"B"</formula>
    </cfRule>
    <cfRule type="cellIs" dxfId="80" priority="28" operator="equal">
      <formula>"C"</formula>
    </cfRule>
    <cfRule type="cellIs" dxfId="79" priority="29" operator="equal">
      <formula>"D"</formula>
    </cfRule>
    <cfRule type="cellIs" dxfId="78" priority="30" operator="equal">
      <formula>"E"</formula>
    </cfRule>
    <cfRule type="cellIs" dxfId="77" priority="31" operator="equal">
      <formula>"F"</formula>
    </cfRule>
    <cfRule type="cellIs" dxfId="76" priority="32" operator="equal">
      <formula>"G"</formula>
    </cfRule>
    <cfRule type="cellIs" dxfId="75" priority="33" operator="equal">
      <formula>"H"</formula>
    </cfRule>
    <cfRule type="cellIs" dxfId="74" priority="34" operator="equal">
      <formula>"I"</formula>
    </cfRule>
    <cfRule type="cellIs" dxfId="73" priority="35" operator="equal">
      <formula>"J"</formula>
    </cfRule>
    <cfRule type="cellIs" dxfId="72" priority="36" operator="equal">
      <formula>"K"</formula>
    </cfRule>
    <cfRule type="cellIs" dxfId="71" priority="37" operator="equal">
      <formula>"L"</formula>
    </cfRule>
  </conditionalFormatting>
  <conditionalFormatting sqref="C2:C2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C9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F90">
    <cfRule type="colorScale" priority="7">
      <colorScale>
        <cfvo type="min"/>
        <cfvo type="percentile" val="50"/>
        <cfvo type="max"/>
        <color theme="0"/>
        <color rgb="FFFFC000"/>
        <color rgb="FF00B050"/>
      </colorScale>
    </cfRule>
  </conditionalFormatting>
  <conditionalFormatting sqref="D2:D2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D5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:E5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0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:F5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0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20">
    <cfRule type="colorScale" priority="43">
      <colorScale>
        <cfvo type="num" val="-4"/>
        <cfvo type="num" val="0"/>
        <cfvo type="num" val="4"/>
        <color rgb="FFF8696B"/>
        <color rgb="FFFFEB84"/>
        <color rgb="FF63BE7B"/>
      </colorScale>
    </cfRule>
  </conditionalFormatting>
  <conditionalFormatting sqref="J2:J2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:J90">
    <cfRule type="cellIs" dxfId="70" priority="5" operator="equal">
      <formula>0</formula>
    </cfRule>
    <cfRule type="cellIs" dxfId="69" priority="6" operator="equal">
      <formula>1</formula>
    </cfRule>
  </conditionalFormatting>
  <conditionalFormatting sqref="K2:K20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0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S7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901E74F4-788E-44FC-AD9D-B38D97371128}">
            <xm:f>'Master Score'!G2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T2:T73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21FC-FA78-4BCF-AE17-3AEE79D229AF}">
  <dimension ref="A1:K73"/>
  <sheetViews>
    <sheetView workbookViewId="0">
      <selection activeCell="C2" sqref="C2"/>
    </sheetView>
  </sheetViews>
  <sheetFormatPr defaultRowHeight="15" x14ac:dyDescent="0.25"/>
  <cols>
    <col min="1" max="1" width="10.42578125" bestFit="1" customWidth="1"/>
    <col min="2" max="2" width="10" bestFit="1" customWidth="1"/>
    <col min="3" max="3" width="10" customWidth="1"/>
    <col min="4" max="4" width="6.5703125" bestFit="1" customWidth="1"/>
    <col min="5" max="6" width="22.5703125" bestFit="1" customWidth="1"/>
    <col min="7" max="7" width="15.85546875" bestFit="1" customWidth="1"/>
    <col min="8" max="11" width="22.5703125" bestFit="1" customWidth="1"/>
  </cols>
  <sheetData>
    <row r="1" spans="1:11" ht="15.75" thickBot="1" x14ac:dyDescent="0.3">
      <c r="A1" s="114" t="s">
        <v>0</v>
      </c>
      <c r="B1" s="114" t="s">
        <v>119</v>
      </c>
      <c r="C1" s="114"/>
      <c r="D1" s="114" t="s">
        <v>1</v>
      </c>
      <c r="E1" s="114" t="s">
        <v>2</v>
      </c>
      <c r="F1" s="114" t="s">
        <v>3</v>
      </c>
      <c r="G1" s="16" t="str">
        <f>Predictions!F1</f>
        <v>Matthew O'Brien</v>
      </c>
      <c r="H1" s="16" t="str">
        <f>Predictions!H1</f>
        <v>Aaron Twiss</v>
      </c>
      <c r="I1" s="16" t="str">
        <f>Predictions!J1</f>
        <v>Arion Aliu</v>
      </c>
      <c r="J1" s="16" t="str">
        <f>Predictions!L1</f>
        <v>Rayan Zaibag</v>
      </c>
      <c r="K1" s="16" t="str">
        <f>Predictions!N1</f>
        <v>Jorge Lopez</v>
      </c>
    </row>
    <row r="2" spans="1:11" x14ac:dyDescent="0.25">
      <c r="A2" s="164">
        <v>46184</v>
      </c>
      <c r="B2" s="162">
        <v>0.83333333333333337</v>
      </c>
      <c r="C2" s="162" t="s">
        <v>120</v>
      </c>
      <c r="D2" s="62" t="s">
        <v>6</v>
      </c>
      <c r="E2" s="31" t="s">
        <v>7</v>
      </c>
      <c r="F2" s="31" t="s">
        <v>8</v>
      </c>
      <c r="G2" s="1" t="str" cm="1">
        <f t="array" ref="G2">_xlfn.IFS(Predictions!F4=1,$E2,Predictions!F4="X","Draw",Predictions!F4=2,$F2)</f>
        <v>Mexico</v>
      </c>
      <c r="H2" s="1" t="str" cm="1">
        <f t="array" ref="H2">_xlfn.IFS(Predictions!H4=1,$E2,Predictions!H4="X","Draw",Predictions!H4=2,$F2)</f>
        <v>Mexico</v>
      </c>
      <c r="I2" s="1" t="str" cm="1">
        <f t="array" ref="I2">_xlfn.IFS(Predictions!J4=1,$E2,Predictions!J4="X","Draw",Predictions!J4=2,$F2)</f>
        <v>Mexico</v>
      </c>
      <c r="J2" s="1" t="str" cm="1">
        <f t="array" ref="J2">_xlfn.IFS(Predictions!L4=1,$E2,Predictions!L4="X","Draw",Predictions!L4=2,$F2)</f>
        <v>Mexico</v>
      </c>
      <c r="K2" s="1" t="str" cm="1">
        <f t="array" ref="K2">_xlfn.IFS(Predictions!N4=1,$E2,Predictions!N4="X","Draw",Predictions!N4=2,$F2)</f>
        <v>Mexico</v>
      </c>
    </row>
    <row r="3" spans="1:11" x14ac:dyDescent="0.25">
      <c r="A3" s="164">
        <v>46185</v>
      </c>
      <c r="B3" s="163">
        <v>0.125</v>
      </c>
      <c r="C3" s="163"/>
      <c r="D3" s="27" t="s">
        <v>6</v>
      </c>
      <c r="E3" s="28" t="s">
        <v>9</v>
      </c>
      <c r="F3" s="28" t="s">
        <v>10</v>
      </c>
      <c r="G3" s="1" t="str" cm="1">
        <f t="array" ref="G3">_xlfn.IFS(Predictions!F5=1,$E3,Predictions!F5="X","Draw",Predictions!F5=2,$F3)</f>
        <v>South Korea</v>
      </c>
      <c r="H3" s="1" t="str" cm="1">
        <f t="array" ref="H3">_xlfn.IFS(Predictions!H5=1,$E3,Predictions!H5="X","Draw",Predictions!H5=2,$F3)</f>
        <v>Draw</v>
      </c>
      <c r="I3" s="1" t="str" cm="1">
        <f t="array" ref="I3">_xlfn.IFS(Predictions!J5=1,$E3,Predictions!J5="X","Draw",Predictions!J5=2,$F3)</f>
        <v>South Korea</v>
      </c>
      <c r="J3" s="1" t="str" cm="1">
        <f t="array" ref="J3">_xlfn.IFS(Predictions!L5=1,$E3,Predictions!L5="X","Draw",Predictions!L5=2,$F3)</f>
        <v>Draw</v>
      </c>
      <c r="K3" s="1" t="str" cm="1">
        <f t="array" ref="K3">_xlfn.IFS(Predictions!N5=1,$E3,Predictions!N5="X","Draw",Predictions!N5=2,$F3)</f>
        <v>South Korea</v>
      </c>
    </row>
    <row r="4" spans="1:11" x14ac:dyDescent="0.25">
      <c r="A4" s="164">
        <v>46185</v>
      </c>
      <c r="B4" s="162">
        <v>0.83333333333333337</v>
      </c>
      <c r="C4" s="162"/>
      <c r="D4" s="30" t="s">
        <v>11</v>
      </c>
      <c r="E4" s="31" t="s">
        <v>12</v>
      </c>
      <c r="F4" s="31" t="s">
        <v>13</v>
      </c>
      <c r="G4" s="1" t="str" cm="1">
        <f t="array" ref="G4">_xlfn.IFS(Predictions!F6=1,$E4,Predictions!F6="X","Draw",Predictions!F6=2,$F4)</f>
        <v>Canada</v>
      </c>
      <c r="H4" s="1" t="str" cm="1">
        <f t="array" ref="H4">_xlfn.IFS(Predictions!H6=1,$E4,Predictions!H6="X","Draw",Predictions!H6=2,$F4)</f>
        <v>Draw</v>
      </c>
      <c r="I4" s="1" t="str" cm="1">
        <f t="array" ref="I4">_xlfn.IFS(Predictions!J6=1,$E4,Predictions!J6="X","Draw",Predictions!J6=2,$F4)</f>
        <v>Bosnia and Herzegovina</v>
      </c>
      <c r="J4" s="1" t="str" cm="1">
        <f t="array" ref="J4">_xlfn.IFS(Predictions!L6=1,$E4,Predictions!L6="X","Draw",Predictions!L6=2,$F4)</f>
        <v>Draw</v>
      </c>
      <c r="K4" s="1" t="str" cm="1">
        <f t="array" ref="K4">_xlfn.IFS(Predictions!N6=1,$E4,Predictions!N6="X","Draw",Predictions!N6=2,$F4)</f>
        <v>Canada</v>
      </c>
    </row>
    <row r="5" spans="1:11" x14ac:dyDescent="0.25">
      <c r="A5" s="164">
        <v>46186</v>
      </c>
      <c r="B5" s="163">
        <v>8.3333333333333329E-2</v>
      </c>
      <c r="C5" s="163"/>
      <c r="D5" s="32" t="s">
        <v>21</v>
      </c>
      <c r="E5" s="28" t="s">
        <v>22</v>
      </c>
      <c r="F5" s="28" t="s">
        <v>23</v>
      </c>
      <c r="G5" s="1" t="str" cm="1">
        <f t="array" ref="G5">_xlfn.IFS(Predictions!F7=1,$E5,Predictions!F7="X","Draw",Predictions!F7=2,$F5)</f>
        <v>USA</v>
      </c>
      <c r="H5" s="1" t="str" cm="1">
        <f t="array" ref="H5">_xlfn.IFS(Predictions!H7=1,$E5,Predictions!H7="X","Draw",Predictions!H7=2,$F5)</f>
        <v>Paraguay</v>
      </c>
      <c r="I5" s="1" t="str" cm="1">
        <f t="array" ref="I5">_xlfn.IFS(Predictions!J7=1,$E5,Predictions!J7="X","Draw",Predictions!J7=2,$F5)</f>
        <v>USA</v>
      </c>
      <c r="J5" s="1" t="str" cm="1">
        <f t="array" ref="J5">_xlfn.IFS(Predictions!L7=1,$E5,Predictions!L7="X","Draw",Predictions!L7=2,$F5)</f>
        <v>USA</v>
      </c>
      <c r="K5" s="1" t="str" cm="1">
        <f t="array" ref="K5">_xlfn.IFS(Predictions!N7=1,$E5,Predictions!N7="X","Draw",Predictions!N7=2,$F5)</f>
        <v>USA</v>
      </c>
    </row>
    <row r="6" spans="1:11" x14ac:dyDescent="0.25">
      <c r="A6" s="164">
        <v>46186</v>
      </c>
      <c r="B6" s="163">
        <v>0.83333333333333337</v>
      </c>
      <c r="C6" s="163"/>
      <c r="D6" s="33" t="s">
        <v>11</v>
      </c>
      <c r="E6" s="28" t="s">
        <v>14</v>
      </c>
      <c r="F6" s="28" t="s">
        <v>15</v>
      </c>
      <c r="G6" s="1" t="str" cm="1">
        <f t="array" ref="G6">_xlfn.IFS(Predictions!F8=1,$E6,Predictions!F8="X","Draw",Predictions!F8=2,$F6)</f>
        <v>Switzerland</v>
      </c>
      <c r="H6" s="1" t="str" cm="1">
        <f t="array" ref="H6">_xlfn.IFS(Predictions!H8=1,$E6,Predictions!H8="X","Draw",Predictions!H8=2,$F6)</f>
        <v>Switzerland</v>
      </c>
      <c r="I6" s="1" t="str" cm="1">
        <f t="array" ref="I6">_xlfn.IFS(Predictions!J8=1,$E6,Predictions!J8="X","Draw",Predictions!J8=2,$F6)</f>
        <v>Switzerland</v>
      </c>
      <c r="J6" s="1" t="str" cm="1">
        <f t="array" ref="J6">_xlfn.IFS(Predictions!L8=1,$E6,Predictions!L8="X","Draw",Predictions!L8=2,$F6)</f>
        <v>Switzerland</v>
      </c>
      <c r="K6" s="1" t="str" cm="1">
        <f t="array" ref="K6">_xlfn.IFS(Predictions!N8=1,$E6,Predictions!N8="X","Draw",Predictions!N8=2,$F6)</f>
        <v>Switzerland</v>
      </c>
    </row>
    <row r="7" spans="1:11" x14ac:dyDescent="0.25">
      <c r="A7" s="164">
        <v>46186</v>
      </c>
      <c r="B7" s="162">
        <v>0.95833333333333337</v>
      </c>
      <c r="C7" s="162"/>
      <c r="D7" s="34" t="s">
        <v>16</v>
      </c>
      <c r="E7" s="31" t="s">
        <v>17</v>
      </c>
      <c r="F7" s="31" t="s">
        <v>18</v>
      </c>
      <c r="G7" s="1" t="str" cm="1">
        <f t="array" ref="G7">_xlfn.IFS(Predictions!F9=1,$E7,Predictions!F9="X","Draw",Predictions!F9=2,$F7)</f>
        <v>Brazil</v>
      </c>
      <c r="H7" s="1" t="str" cm="1">
        <f t="array" ref="H7">_xlfn.IFS(Predictions!H9=1,$E7,Predictions!H9="X","Draw",Predictions!H9=2,$F7)</f>
        <v>Morocco</v>
      </c>
      <c r="I7" s="1" t="str" cm="1">
        <f t="array" ref="I7">_xlfn.IFS(Predictions!J9=1,$E7,Predictions!J9="X","Draw",Predictions!J9=2,$F7)</f>
        <v>Brazil</v>
      </c>
      <c r="J7" s="1" t="str" cm="1">
        <f t="array" ref="J7">_xlfn.IFS(Predictions!L9=1,$E7,Predictions!L9="X","Draw",Predictions!L9=2,$F7)</f>
        <v>Brazil</v>
      </c>
      <c r="K7" s="1" t="str" cm="1">
        <f t="array" ref="K7">_xlfn.IFS(Predictions!N9=1,$E7,Predictions!N9="X","Draw",Predictions!N9=2,$F7)</f>
        <v>Brazil</v>
      </c>
    </row>
    <row r="8" spans="1:11" x14ac:dyDescent="0.25">
      <c r="A8" s="164">
        <v>46187</v>
      </c>
      <c r="B8" s="163">
        <v>8.3333333333333329E-2</v>
      </c>
      <c r="C8" s="163"/>
      <c r="D8" s="35" t="s">
        <v>16</v>
      </c>
      <c r="E8" s="28" t="s">
        <v>19</v>
      </c>
      <c r="F8" s="28" t="s">
        <v>20</v>
      </c>
      <c r="G8" s="1" t="str" cm="1">
        <f t="array" ref="G8">_xlfn.IFS(Predictions!F10=1,$E8,Predictions!F10="X","Draw",Predictions!F10=2,$F8)</f>
        <v>Scotland</v>
      </c>
      <c r="H8" s="1" t="str" cm="1">
        <f t="array" ref="H8">_xlfn.IFS(Predictions!H10=1,$E8,Predictions!H10="X","Draw",Predictions!H10=2,$F8)</f>
        <v>Scotland</v>
      </c>
      <c r="I8" s="1" t="str" cm="1">
        <f t="array" ref="I8">_xlfn.IFS(Predictions!J10=1,$E8,Predictions!J10="X","Draw",Predictions!J10=2,$F8)</f>
        <v>Scotland</v>
      </c>
      <c r="J8" s="1" t="str" cm="1">
        <f t="array" ref="J8">_xlfn.IFS(Predictions!L10=1,$E8,Predictions!L10="X","Draw",Predictions!L10=2,$F8)</f>
        <v>Scotland</v>
      </c>
      <c r="K8" s="1" t="str" cm="1">
        <f t="array" ref="K8">_xlfn.IFS(Predictions!N10=1,$E8,Predictions!N10="X","Draw",Predictions!N10=2,$F8)</f>
        <v>Scotland</v>
      </c>
    </row>
    <row r="9" spans="1:11" x14ac:dyDescent="0.25">
      <c r="A9" s="164">
        <v>46187</v>
      </c>
      <c r="B9" s="163">
        <v>0.20833333333333334</v>
      </c>
      <c r="C9" s="163"/>
      <c r="D9" s="32" t="s">
        <v>21</v>
      </c>
      <c r="E9" s="28" t="s">
        <v>24</v>
      </c>
      <c r="F9" s="28" t="s">
        <v>25</v>
      </c>
      <c r="G9" s="1" t="str" cm="1">
        <f t="array" ref="G9">_xlfn.IFS(Predictions!F11=1,$E9,Predictions!F11="X","Draw",Predictions!F11=2,$F9)</f>
        <v>Türkiye</v>
      </c>
      <c r="H9" s="1" t="str" cm="1">
        <f t="array" ref="H9">_xlfn.IFS(Predictions!H11=1,$E9,Predictions!H11="X","Draw",Predictions!H11=2,$F9)</f>
        <v>Türkiye</v>
      </c>
      <c r="I9" s="1" t="str" cm="1">
        <f t="array" ref="I9">_xlfn.IFS(Predictions!J11=1,$E9,Predictions!J11="X","Draw",Predictions!J11=2,$F9)</f>
        <v>Türkiye</v>
      </c>
      <c r="J9" s="1" t="str" cm="1">
        <f t="array" ref="J9">_xlfn.IFS(Predictions!L11=1,$E9,Predictions!L11="X","Draw",Predictions!L11=2,$F9)</f>
        <v>Türkiye</v>
      </c>
      <c r="K9" s="1" t="str" cm="1">
        <f t="array" ref="K9">_xlfn.IFS(Predictions!N11=1,$E9,Predictions!N11="X","Draw",Predictions!N11=2,$F9)</f>
        <v>Türkiye</v>
      </c>
    </row>
    <row r="10" spans="1:11" x14ac:dyDescent="0.25">
      <c r="A10" s="164">
        <v>46187</v>
      </c>
      <c r="B10" s="163">
        <v>0.75</v>
      </c>
      <c r="C10" s="163"/>
      <c r="D10" s="36" t="s">
        <v>26</v>
      </c>
      <c r="E10" s="28" t="s">
        <v>27</v>
      </c>
      <c r="F10" s="28" t="s">
        <v>28</v>
      </c>
      <c r="G10" s="1" t="str" cm="1">
        <f t="array" ref="G10">_xlfn.IFS(Predictions!F12=1,$E10,Predictions!F12="X","Draw",Predictions!F12=2,$F10)</f>
        <v>Germany</v>
      </c>
      <c r="H10" s="1" t="str" cm="1">
        <f t="array" ref="H10">_xlfn.IFS(Predictions!H12=1,$E10,Predictions!H12="X","Draw",Predictions!H12=2,$F10)</f>
        <v>Germany</v>
      </c>
      <c r="I10" s="1" t="str" cm="1">
        <f t="array" ref="I10">_xlfn.IFS(Predictions!J12=1,$E10,Predictions!J12="X","Draw",Predictions!J12=2,$F10)</f>
        <v>Germany</v>
      </c>
      <c r="J10" s="1" t="str" cm="1">
        <f t="array" ref="J10">_xlfn.IFS(Predictions!L12=1,$E10,Predictions!L12="X","Draw",Predictions!L12=2,$F10)</f>
        <v>Germany</v>
      </c>
      <c r="K10" s="1" t="str" cm="1">
        <f t="array" ref="K10">_xlfn.IFS(Predictions!N12=1,$E10,Predictions!N12="X","Draw",Predictions!N12=2,$F10)</f>
        <v>Germany</v>
      </c>
    </row>
    <row r="11" spans="1:11" x14ac:dyDescent="0.25">
      <c r="A11" s="164">
        <v>46187</v>
      </c>
      <c r="B11" s="162">
        <v>0.875</v>
      </c>
      <c r="C11" s="162"/>
      <c r="D11" s="37" t="s">
        <v>31</v>
      </c>
      <c r="E11" s="31" t="s">
        <v>32</v>
      </c>
      <c r="F11" s="31" t="s">
        <v>33</v>
      </c>
      <c r="G11" s="1" t="str" cm="1">
        <f t="array" ref="G11">_xlfn.IFS(Predictions!F13=1,$E11,Predictions!F13="X","Draw",Predictions!F13=2,$F11)</f>
        <v>Draw</v>
      </c>
      <c r="H11" s="1" t="str" cm="1">
        <f t="array" ref="H11">_xlfn.IFS(Predictions!H13=1,$E11,Predictions!H13="X","Draw",Predictions!H13=2,$F11)</f>
        <v>Netherlands</v>
      </c>
      <c r="I11" s="1" t="str" cm="1">
        <f t="array" ref="I11">_xlfn.IFS(Predictions!J13=1,$E11,Predictions!J13="X","Draw",Predictions!J13=2,$F11)</f>
        <v>Netherlands</v>
      </c>
      <c r="J11" s="1" t="str" cm="1">
        <f t="array" ref="J11">_xlfn.IFS(Predictions!L13=1,$E11,Predictions!L13="X","Draw",Predictions!L13=2,$F11)</f>
        <v>Draw</v>
      </c>
      <c r="K11" s="1" t="str" cm="1">
        <f t="array" ref="K11">_xlfn.IFS(Predictions!N13=1,$E11,Predictions!N13="X","Draw",Predictions!N13=2,$F11)</f>
        <v>Draw</v>
      </c>
    </row>
    <row r="12" spans="1:11" x14ac:dyDescent="0.25">
      <c r="A12" s="164">
        <v>46188</v>
      </c>
      <c r="B12" s="163">
        <v>0</v>
      </c>
      <c r="C12" s="163"/>
      <c r="D12" s="36" t="s">
        <v>26</v>
      </c>
      <c r="E12" s="28" t="s">
        <v>29</v>
      </c>
      <c r="F12" s="28" t="s">
        <v>30</v>
      </c>
      <c r="G12" s="1" t="str" cm="1">
        <f t="array" ref="G12">_xlfn.IFS(Predictions!F14=1,$E12,Predictions!F14="X","Draw",Predictions!F14=2,$F12)</f>
        <v>Côte d'Ivoire</v>
      </c>
      <c r="H12" s="1" t="str" cm="1">
        <f t="array" ref="H12">_xlfn.IFS(Predictions!H14=1,$E12,Predictions!H14="X","Draw",Predictions!H14=2,$F12)</f>
        <v>Draw</v>
      </c>
      <c r="I12" s="1" t="str" cm="1">
        <f t="array" ref="I12">_xlfn.IFS(Predictions!J14=1,$E12,Predictions!J14="X","Draw",Predictions!J14=2,$F12)</f>
        <v>Côte d'Ivoire</v>
      </c>
      <c r="J12" s="1" t="str" cm="1">
        <f t="array" ref="J12">_xlfn.IFS(Predictions!L14=1,$E12,Predictions!L14="X","Draw",Predictions!L14=2,$F12)</f>
        <v>Draw</v>
      </c>
      <c r="K12" s="1" t="str" cm="1">
        <f t="array" ref="K12">_xlfn.IFS(Predictions!N14=1,$E12,Predictions!N14="X","Draw",Predictions!N14=2,$F12)</f>
        <v>Ecuador</v>
      </c>
    </row>
    <row r="13" spans="1:11" x14ac:dyDescent="0.25">
      <c r="A13" s="164">
        <v>46188</v>
      </c>
      <c r="B13" s="163">
        <v>0.125</v>
      </c>
      <c r="C13" s="163"/>
      <c r="D13" s="38" t="s">
        <v>31</v>
      </c>
      <c r="E13" s="28" t="s">
        <v>34</v>
      </c>
      <c r="F13" s="28" t="s">
        <v>35</v>
      </c>
      <c r="G13" s="1" t="str" cm="1">
        <f t="array" ref="G13">_xlfn.IFS(Predictions!F15=1,$E13,Predictions!F15="X","Draw",Predictions!F15=2,$F13)</f>
        <v>Sweden</v>
      </c>
      <c r="H13" s="1" t="str" cm="1">
        <f t="array" ref="H13">_xlfn.IFS(Predictions!H15=1,$E13,Predictions!H15="X","Draw",Predictions!H15=2,$F13)</f>
        <v>Draw</v>
      </c>
      <c r="I13" s="1" t="str" cm="1">
        <f t="array" ref="I13">_xlfn.IFS(Predictions!J15=1,$E13,Predictions!J15="X","Draw",Predictions!J15=2,$F13)</f>
        <v>Sweden</v>
      </c>
      <c r="J13" s="1" t="str" cm="1">
        <f t="array" ref="J13">_xlfn.IFS(Predictions!L15=1,$E13,Predictions!L15="X","Draw",Predictions!L15=2,$F13)</f>
        <v>Sweden</v>
      </c>
      <c r="K13" s="1" t="str" cm="1">
        <f t="array" ref="K13">_xlfn.IFS(Predictions!N15=1,$E13,Predictions!N15="X","Draw",Predictions!N15=2,$F13)</f>
        <v>Tunisia</v>
      </c>
    </row>
    <row r="14" spans="1:11" x14ac:dyDescent="0.25">
      <c r="A14" s="164">
        <v>46188</v>
      </c>
      <c r="B14" s="163">
        <v>0.75</v>
      </c>
      <c r="C14" s="163"/>
      <c r="D14" s="39" t="s">
        <v>36</v>
      </c>
      <c r="E14" s="28" t="s">
        <v>37</v>
      </c>
      <c r="F14" s="28" t="s">
        <v>38</v>
      </c>
      <c r="G14" s="1" t="str" cm="1">
        <f t="array" ref="G14">_xlfn.IFS(Predictions!F16=1,$E14,Predictions!F16="X","Draw",Predictions!F16=2,$F14)</f>
        <v>Belgium</v>
      </c>
      <c r="H14" s="1" t="str" cm="1">
        <f t="array" ref="H14">_xlfn.IFS(Predictions!H16=1,$E14,Predictions!H16="X","Draw",Predictions!H16=2,$F14)</f>
        <v>Belgium</v>
      </c>
      <c r="I14" s="1" t="str" cm="1">
        <f t="array" ref="I14">_xlfn.IFS(Predictions!J16=1,$E14,Predictions!J16="X","Draw",Predictions!J16=2,$F14)</f>
        <v>Belgium</v>
      </c>
      <c r="J14" s="1" t="str" cm="1">
        <f t="array" ref="J14">_xlfn.IFS(Predictions!L16=1,$E14,Predictions!L16="X","Draw",Predictions!L16=2,$F14)</f>
        <v>Belgium</v>
      </c>
      <c r="K14" s="1" t="str" cm="1">
        <f t="array" ref="K14">_xlfn.IFS(Predictions!N16=1,$E14,Predictions!N16="X","Draw",Predictions!N16=2,$F14)</f>
        <v>Belgium</v>
      </c>
    </row>
    <row r="15" spans="1:11" x14ac:dyDescent="0.25">
      <c r="A15" s="164">
        <v>46188</v>
      </c>
      <c r="B15" s="163">
        <v>0.875</v>
      </c>
      <c r="C15" s="163"/>
      <c r="D15" s="40" t="s">
        <v>41</v>
      </c>
      <c r="E15" s="28" t="s">
        <v>42</v>
      </c>
      <c r="F15" s="28" t="s">
        <v>43</v>
      </c>
      <c r="G15" s="1" t="str" cm="1">
        <f t="array" ref="G15">_xlfn.IFS(Predictions!F17=1,$E15,Predictions!F17="X","Draw",Predictions!F17=2,$F15)</f>
        <v>Spain</v>
      </c>
      <c r="H15" s="1" t="str" cm="1">
        <f t="array" ref="H15">_xlfn.IFS(Predictions!H17=1,$E15,Predictions!H17="X","Draw",Predictions!H17=2,$F15)</f>
        <v>Spain</v>
      </c>
      <c r="I15" s="1" t="str" cm="1">
        <f t="array" ref="I15">_xlfn.IFS(Predictions!J17=1,$E15,Predictions!J17="X","Draw",Predictions!J17=2,$F15)</f>
        <v>Spain</v>
      </c>
      <c r="J15" s="1" t="str" cm="1">
        <f t="array" ref="J15">_xlfn.IFS(Predictions!L17=1,$E15,Predictions!L17="X","Draw",Predictions!L17=2,$F15)</f>
        <v>Spain</v>
      </c>
      <c r="K15" s="1" t="str" cm="1">
        <f t="array" ref="K15">_xlfn.IFS(Predictions!N17=1,$E15,Predictions!N17="X","Draw",Predictions!N17=2,$F15)</f>
        <v>Spain</v>
      </c>
    </row>
    <row r="16" spans="1:11" x14ac:dyDescent="0.25">
      <c r="A16" s="164">
        <v>46188</v>
      </c>
      <c r="B16" s="162">
        <v>0</v>
      </c>
      <c r="C16" s="162"/>
      <c r="D16" s="41" t="s">
        <v>41</v>
      </c>
      <c r="E16" s="31" t="s">
        <v>44</v>
      </c>
      <c r="F16" s="31" t="s">
        <v>45</v>
      </c>
      <c r="G16" s="1" t="str" cm="1">
        <f t="array" ref="G16">_xlfn.IFS(Predictions!F18=1,$E16,Predictions!F18="X","Draw",Predictions!F18=2,$F16)</f>
        <v>Uruguay</v>
      </c>
      <c r="H16" s="1" t="str" cm="1">
        <f t="array" ref="H16">_xlfn.IFS(Predictions!H18=1,$E16,Predictions!H18="X","Draw",Predictions!H18=2,$F16)</f>
        <v>Uruguay</v>
      </c>
      <c r="I16" s="1" t="str" cm="1">
        <f t="array" ref="I16">_xlfn.IFS(Predictions!J18=1,$E16,Predictions!J18="X","Draw",Predictions!J18=2,$F16)</f>
        <v>Uruguay</v>
      </c>
      <c r="J16" s="1" t="str" cm="1">
        <f t="array" ref="J16">_xlfn.IFS(Predictions!L18=1,$E16,Predictions!L18="X","Draw",Predictions!L18=2,$F16)</f>
        <v>Uruguay</v>
      </c>
      <c r="K16" s="1" t="str" cm="1">
        <f t="array" ref="K16">_xlfn.IFS(Predictions!N18=1,$E16,Predictions!N18="X","Draw",Predictions!N18=2,$F16)</f>
        <v>Uruguay</v>
      </c>
    </row>
    <row r="17" spans="1:11" x14ac:dyDescent="0.25">
      <c r="A17" s="164">
        <v>46189</v>
      </c>
      <c r="B17" s="163">
        <v>0.125</v>
      </c>
      <c r="C17" s="163"/>
      <c r="D17" s="39" t="s">
        <v>36</v>
      </c>
      <c r="E17" s="28" t="s">
        <v>39</v>
      </c>
      <c r="F17" s="28" t="s">
        <v>40</v>
      </c>
      <c r="G17" s="1" t="str" cm="1">
        <f t="array" ref="G17">_xlfn.IFS(Predictions!F19=1,$E17,Predictions!F19="X","Draw",Predictions!F19=2,$F17)</f>
        <v>Draw</v>
      </c>
      <c r="H17" s="1" t="str" cm="1">
        <f t="array" ref="H17">_xlfn.IFS(Predictions!H19=1,$E17,Predictions!H19="X","Draw",Predictions!H19=2,$F17)</f>
        <v>IR Iran</v>
      </c>
      <c r="I17" s="1" t="str" cm="1">
        <f t="array" ref="I17">_xlfn.IFS(Predictions!J19=1,$E17,Predictions!J19="X","Draw",Predictions!J19=2,$F17)</f>
        <v>New Zealand</v>
      </c>
      <c r="J17" s="1" t="str" cm="1">
        <f t="array" ref="J17">_xlfn.IFS(Predictions!L19=1,$E17,Predictions!L19="X","Draw",Predictions!L19=2,$F17)</f>
        <v>IR Iran</v>
      </c>
      <c r="K17" s="1" t="str" cm="1">
        <f t="array" ref="K17">_xlfn.IFS(Predictions!N19=1,$E17,Predictions!N19="X","Draw",Predictions!N19=2,$F17)</f>
        <v>IR Iran</v>
      </c>
    </row>
    <row r="18" spans="1:11" x14ac:dyDescent="0.25">
      <c r="A18" s="164">
        <v>46189</v>
      </c>
      <c r="B18" s="163">
        <v>0.75</v>
      </c>
      <c r="C18" s="163"/>
      <c r="D18" s="42" t="s">
        <v>46</v>
      </c>
      <c r="E18" s="28" t="s">
        <v>47</v>
      </c>
      <c r="F18" s="28" t="s">
        <v>48</v>
      </c>
      <c r="G18" s="1" t="str" cm="1">
        <f t="array" ref="G18">_xlfn.IFS(Predictions!F20=1,$E18,Predictions!F20="X","Draw",Predictions!F20=2,$F18)</f>
        <v>France</v>
      </c>
      <c r="H18" s="1" t="str" cm="1">
        <f t="array" ref="H18">_xlfn.IFS(Predictions!H20=1,$E18,Predictions!H20="X","Draw",Predictions!H20=2,$F18)</f>
        <v>France</v>
      </c>
      <c r="I18" s="1" t="str" cm="1">
        <f t="array" ref="I18">_xlfn.IFS(Predictions!J20=1,$E18,Predictions!J20="X","Draw",Predictions!J20=2,$F18)</f>
        <v>France</v>
      </c>
      <c r="J18" s="1" t="str" cm="1">
        <f t="array" ref="J18">_xlfn.IFS(Predictions!L20=1,$E18,Predictions!L20="X","Draw",Predictions!L20=2,$F18)</f>
        <v>France</v>
      </c>
      <c r="K18" s="1" t="str" cm="1">
        <f t="array" ref="K18">_xlfn.IFS(Predictions!N20=1,$E18,Predictions!N20="X","Draw",Predictions!N20=2,$F18)</f>
        <v>France</v>
      </c>
    </row>
    <row r="19" spans="1:11" x14ac:dyDescent="0.25">
      <c r="A19" s="164">
        <v>46189</v>
      </c>
      <c r="B19" s="162">
        <v>0.875</v>
      </c>
      <c r="C19" s="162"/>
      <c r="D19" s="43" t="s">
        <v>46</v>
      </c>
      <c r="E19" s="31" t="s">
        <v>49</v>
      </c>
      <c r="F19" s="31" t="s">
        <v>50</v>
      </c>
      <c r="G19" s="1" t="str" cm="1">
        <f t="array" ref="G19">_xlfn.IFS(Predictions!F21=1,$E19,Predictions!F21="X","Draw",Predictions!F21=2,$F19)</f>
        <v>Norway</v>
      </c>
      <c r="H19" s="1" t="str" cm="1">
        <f t="array" ref="H19">_xlfn.IFS(Predictions!H21=1,$E19,Predictions!H21="X","Draw",Predictions!H21=2,$F19)</f>
        <v>Norway</v>
      </c>
      <c r="I19" s="1" t="str" cm="1">
        <f t="array" ref="I19">_xlfn.IFS(Predictions!J21=1,$E19,Predictions!J21="X","Draw",Predictions!J21=2,$F19)</f>
        <v>Norway</v>
      </c>
      <c r="J19" s="1" t="str" cm="1">
        <f t="array" ref="J19">_xlfn.IFS(Predictions!L21=1,$E19,Predictions!L21="X","Draw",Predictions!L21=2,$F19)</f>
        <v>Norway</v>
      </c>
      <c r="K19" s="1" t="str" cm="1">
        <f t="array" ref="K19">_xlfn.IFS(Predictions!N21=1,$E19,Predictions!N21="X","Draw",Predictions!N21=2,$F19)</f>
        <v>Norway</v>
      </c>
    </row>
    <row r="20" spans="1:11" x14ac:dyDescent="0.25">
      <c r="A20" s="164">
        <v>46190</v>
      </c>
      <c r="B20" s="163">
        <v>0</v>
      </c>
      <c r="C20" s="163"/>
      <c r="D20" s="44" t="s">
        <v>51</v>
      </c>
      <c r="E20" s="28" t="s">
        <v>52</v>
      </c>
      <c r="F20" s="28" t="s">
        <v>53</v>
      </c>
      <c r="G20" s="1" t="str" cm="1">
        <f t="array" ref="G20">_xlfn.IFS(Predictions!F22=1,$E20,Predictions!F22="X","Draw",Predictions!F22=2,$F20)</f>
        <v>Argentina</v>
      </c>
      <c r="H20" s="1" t="str" cm="1">
        <f t="array" ref="H20">_xlfn.IFS(Predictions!H22=1,$E20,Predictions!H22="X","Draw",Predictions!H22=2,$F20)</f>
        <v>Argentina</v>
      </c>
      <c r="I20" s="1" t="str" cm="1">
        <f t="array" ref="I20">_xlfn.IFS(Predictions!J22=1,$E20,Predictions!J22="X","Draw",Predictions!J22=2,$F20)</f>
        <v>Argentina</v>
      </c>
      <c r="J20" s="1" t="str" cm="1">
        <f t="array" ref="J20">_xlfn.IFS(Predictions!L22=1,$E20,Predictions!L22="X","Draw",Predictions!L22=2,$F20)</f>
        <v>Argentina</v>
      </c>
      <c r="K20" s="1" t="str" cm="1">
        <f t="array" ref="K20">_xlfn.IFS(Predictions!N22=1,$E20,Predictions!N22="X","Draw",Predictions!N22=2,$F20)</f>
        <v>Argentina</v>
      </c>
    </row>
    <row r="21" spans="1:11" x14ac:dyDescent="0.25">
      <c r="A21" s="164">
        <v>46190</v>
      </c>
      <c r="B21" s="163">
        <v>0.125</v>
      </c>
      <c r="C21" s="163"/>
      <c r="D21" s="44" t="s">
        <v>51</v>
      </c>
      <c r="E21" s="28" t="s">
        <v>54</v>
      </c>
      <c r="F21" s="28" t="s">
        <v>55</v>
      </c>
      <c r="G21" s="1" t="str" cm="1">
        <f t="array" ref="G21">_xlfn.IFS(Predictions!F23=1,$E21,Predictions!F23="X","Draw",Predictions!F23=2,$F21)</f>
        <v>Austria</v>
      </c>
      <c r="H21" s="1" t="str" cm="1">
        <f t="array" ref="H21">_xlfn.IFS(Predictions!H23=1,$E21,Predictions!H23="X","Draw",Predictions!H23=2,$F21)</f>
        <v>Austria</v>
      </c>
      <c r="I21" s="1" t="str" cm="1">
        <f t="array" ref="I21">_xlfn.IFS(Predictions!J23=1,$E21,Predictions!J23="X","Draw",Predictions!J23=2,$F21)</f>
        <v>Austria</v>
      </c>
      <c r="J21" s="1" t="str" cm="1">
        <f t="array" ref="J21">_xlfn.IFS(Predictions!L23=1,$E21,Predictions!L23="X","Draw",Predictions!L23=2,$F21)</f>
        <v>Austria</v>
      </c>
      <c r="K21" s="1" t="str" cm="1">
        <f t="array" ref="K21">_xlfn.IFS(Predictions!N23=1,$E21,Predictions!N23="X","Draw",Predictions!N23=2,$F21)</f>
        <v>Austria</v>
      </c>
    </row>
    <row r="22" spans="1:11" x14ac:dyDescent="0.25">
      <c r="A22" s="164">
        <v>46190</v>
      </c>
      <c r="B22" s="163">
        <v>0.75</v>
      </c>
      <c r="C22" s="163"/>
      <c r="D22" s="45" t="s">
        <v>56</v>
      </c>
      <c r="E22" s="28" t="s">
        <v>57</v>
      </c>
      <c r="F22" s="28" t="s">
        <v>58</v>
      </c>
      <c r="G22" s="1" t="str" cm="1">
        <f t="array" ref="G22">_xlfn.IFS(Predictions!F24=1,$E22,Predictions!F24="X","Draw",Predictions!F24=2,$F22)</f>
        <v>Portugal</v>
      </c>
      <c r="H22" s="1" t="str" cm="1">
        <f t="array" ref="H22">_xlfn.IFS(Predictions!H24=1,$E22,Predictions!H24="X","Draw",Predictions!H24=2,$F22)</f>
        <v>Portugal</v>
      </c>
      <c r="I22" s="1" t="str" cm="1">
        <f t="array" ref="I22">_xlfn.IFS(Predictions!J24=1,$E22,Predictions!J24="X","Draw",Predictions!J24=2,$F22)</f>
        <v>Portugal</v>
      </c>
      <c r="J22" s="1" t="str" cm="1">
        <f t="array" ref="J22">_xlfn.IFS(Predictions!L24=1,$E22,Predictions!L24="X","Draw",Predictions!L24=2,$F22)</f>
        <v>Portugal</v>
      </c>
      <c r="K22" s="1" t="str" cm="1">
        <f t="array" ref="K22">_xlfn.IFS(Predictions!N24=1,$E22,Predictions!N24="X","Draw",Predictions!N24=2,$F22)</f>
        <v>Portugal</v>
      </c>
    </row>
    <row r="23" spans="1:11" x14ac:dyDescent="0.25">
      <c r="A23" s="164">
        <v>46190</v>
      </c>
      <c r="B23" s="162">
        <v>0.875</v>
      </c>
      <c r="C23" s="162"/>
      <c r="D23" s="46" t="s">
        <v>61</v>
      </c>
      <c r="E23" s="31" t="s">
        <v>62</v>
      </c>
      <c r="F23" s="31" t="s">
        <v>63</v>
      </c>
      <c r="G23" s="1" t="str" cm="1">
        <f t="array" ref="G23">_xlfn.IFS(Predictions!F25=1,$E23,Predictions!F25="X","Draw",Predictions!F25=2,$F23)</f>
        <v>Draw</v>
      </c>
      <c r="H23" s="1" t="str" cm="1">
        <f t="array" ref="H23">_xlfn.IFS(Predictions!H25=1,$E23,Predictions!H25="X","Draw",Predictions!H25=2,$F23)</f>
        <v>England</v>
      </c>
      <c r="I23" s="1" t="str" cm="1">
        <f t="array" ref="I23">_xlfn.IFS(Predictions!J25=1,$E23,Predictions!J25="X","Draw",Predictions!J25=2,$F23)</f>
        <v>England</v>
      </c>
      <c r="J23" s="1" t="str" cm="1">
        <f t="array" ref="J23">_xlfn.IFS(Predictions!L25=1,$E23,Predictions!L25="X","Draw",Predictions!L25=2,$F23)</f>
        <v>Draw</v>
      </c>
      <c r="K23" s="1" t="str" cm="1">
        <f t="array" ref="K23">_xlfn.IFS(Predictions!N25=1,$E23,Predictions!N25="X","Draw",Predictions!N25=2,$F23)</f>
        <v>England</v>
      </c>
    </row>
    <row r="24" spans="1:11" x14ac:dyDescent="0.25">
      <c r="A24" s="164">
        <v>46191</v>
      </c>
      <c r="B24" s="163">
        <v>0</v>
      </c>
      <c r="C24" s="163"/>
      <c r="D24" s="45" t="s">
        <v>56</v>
      </c>
      <c r="E24" s="28" t="s">
        <v>59</v>
      </c>
      <c r="F24" s="28" t="s">
        <v>60</v>
      </c>
      <c r="G24" s="1" t="str" cm="1">
        <f t="array" ref="G24">_xlfn.IFS(Predictions!F26=1,$E24,Predictions!F26="X","Draw",Predictions!F26=2,$F24)</f>
        <v>Colombia</v>
      </c>
      <c r="H24" s="1" t="str" cm="1">
        <f t="array" ref="H24">_xlfn.IFS(Predictions!H26=1,$E24,Predictions!H26="X","Draw",Predictions!H26=2,$F24)</f>
        <v>Colombia</v>
      </c>
      <c r="I24" s="1" t="str" cm="1">
        <f t="array" ref="I24">_xlfn.IFS(Predictions!J26=1,$E24,Predictions!J26="X","Draw",Predictions!J26=2,$F24)</f>
        <v>Colombia</v>
      </c>
      <c r="J24" s="1" t="str" cm="1">
        <f t="array" ref="J24">_xlfn.IFS(Predictions!L26=1,$E24,Predictions!L26="X","Draw",Predictions!L26=2,$F24)</f>
        <v>Colombia</v>
      </c>
      <c r="K24" s="1" t="str" cm="1">
        <f t="array" ref="K24">_xlfn.IFS(Predictions!N26=1,$E24,Predictions!N26="X","Draw",Predictions!N26=2,$F24)</f>
        <v>Colombia</v>
      </c>
    </row>
    <row r="25" spans="1:11" x14ac:dyDescent="0.25">
      <c r="A25" s="164">
        <v>46191</v>
      </c>
      <c r="B25" s="163">
        <v>0.125</v>
      </c>
      <c r="C25" s="163"/>
      <c r="D25" s="47" t="s">
        <v>61</v>
      </c>
      <c r="E25" s="28" t="s">
        <v>64</v>
      </c>
      <c r="F25" s="28" t="s">
        <v>65</v>
      </c>
      <c r="G25" s="1" t="str" cm="1">
        <f t="array" ref="G25">_xlfn.IFS(Predictions!F27=1,$E25,Predictions!F27="X","Draw",Predictions!F27=2,$F25)</f>
        <v>Ghana</v>
      </c>
      <c r="H25" s="1" t="str" cm="1">
        <f t="array" ref="H25">_xlfn.IFS(Predictions!H27=1,$E25,Predictions!H27="X","Draw",Predictions!H27=2,$F25)</f>
        <v>Ghana</v>
      </c>
      <c r="I25" s="1" t="str" cm="1">
        <f t="array" ref="I25">_xlfn.IFS(Predictions!J27=1,$E25,Predictions!J27="X","Draw",Predictions!J27=2,$F25)</f>
        <v>Draw</v>
      </c>
      <c r="J25" s="1" t="str" cm="1">
        <f t="array" ref="J25">_xlfn.IFS(Predictions!L27=1,$E25,Predictions!L27="X","Draw",Predictions!L27=2,$F25)</f>
        <v>Draw</v>
      </c>
      <c r="K25" s="1" t="str" cm="1">
        <f t="array" ref="K25">_xlfn.IFS(Predictions!N27=1,$E25,Predictions!N27="X","Draw",Predictions!N27=2,$F25)</f>
        <v>Ghana</v>
      </c>
    </row>
    <row r="26" spans="1:11" x14ac:dyDescent="0.25">
      <c r="A26" s="164">
        <v>46191</v>
      </c>
      <c r="B26" s="163">
        <v>0.75</v>
      </c>
      <c r="C26" s="163"/>
      <c r="D26" s="27" t="s">
        <v>6</v>
      </c>
      <c r="E26" s="28" t="s">
        <v>10</v>
      </c>
      <c r="F26" s="28" t="s">
        <v>8</v>
      </c>
      <c r="G26" s="1" t="str" cm="1">
        <f t="array" ref="G26">_xlfn.IFS(Predictions!F28=1,$E26,Predictions!F28="X","Draw",Predictions!F28=2,$F26)</f>
        <v>Draw</v>
      </c>
      <c r="H26" s="1" t="str" cm="1">
        <f t="array" ref="H26">_xlfn.IFS(Predictions!H28=1,$E26,Predictions!H28="X","Draw",Predictions!H28=2,$F26)</f>
        <v>Czechia</v>
      </c>
      <c r="I26" s="1" t="str" cm="1">
        <f t="array" ref="I26">_xlfn.IFS(Predictions!J28=1,$E26,Predictions!J28="X","Draw",Predictions!J28=2,$F26)</f>
        <v>Czechia</v>
      </c>
      <c r="J26" s="1" t="str" cm="1">
        <f t="array" ref="J26">_xlfn.IFS(Predictions!L28=1,$E26,Predictions!L28="X","Draw",Predictions!L28=2,$F26)</f>
        <v>Czechia</v>
      </c>
      <c r="K26" s="1" t="str" cm="1">
        <f t="array" ref="K26">_xlfn.IFS(Predictions!N28=1,$E26,Predictions!N28="X","Draw",Predictions!N28=2,$F26)</f>
        <v>Czechia</v>
      </c>
    </row>
    <row r="27" spans="1:11" x14ac:dyDescent="0.25">
      <c r="A27" s="164">
        <v>46191</v>
      </c>
      <c r="B27" s="163">
        <v>0.875</v>
      </c>
      <c r="C27" s="163"/>
      <c r="D27" s="33" t="s">
        <v>11</v>
      </c>
      <c r="E27" s="28" t="s">
        <v>15</v>
      </c>
      <c r="F27" s="28" t="s">
        <v>13</v>
      </c>
      <c r="G27" s="1" t="str" cm="1">
        <f t="array" ref="G27">_xlfn.IFS(Predictions!F29=1,$E27,Predictions!F29="X","Draw",Predictions!F29=2,$F27)</f>
        <v>Switzerland</v>
      </c>
      <c r="H27" s="1" t="str" cm="1">
        <f t="array" ref="H27">_xlfn.IFS(Predictions!H29=1,$E27,Predictions!H29="X","Draw",Predictions!H29=2,$F27)</f>
        <v>Switzerland</v>
      </c>
      <c r="I27" s="1" t="str" cm="1">
        <f t="array" ref="I27">_xlfn.IFS(Predictions!J29=1,$E27,Predictions!J29="X","Draw",Predictions!J29=2,$F27)</f>
        <v>Switzerland</v>
      </c>
      <c r="J27" s="1" t="str" cm="1">
        <f t="array" ref="J27">_xlfn.IFS(Predictions!L29=1,$E27,Predictions!L29="X","Draw",Predictions!L29=2,$F27)</f>
        <v>Switzerland</v>
      </c>
      <c r="K27" s="1" t="str" cm="1">
        <f t="array" ref="K27">_xlfn.IFS(Predictions!N29=1,$E27,Predictions!N29="X","Draw",Predictions!N29=2,$F27)</f>
        <v>Switzerland</v>
      </c>
    </row>
    <row r="28" spans="1:11" x14ac:dyDescent="0.25">
      <c r="A28" s="164">
        <v>46191</v>
      </c>
      <c r="B28" s="162">
        <v>0</v>
      </c>
      <c r="C28" s="162"/>
      <c r="D28" s="30" t="s">
        <v>11</v>
      </c>
      <c r="E28" s="31" t="s">
        <v>12</v>
      </c>
      <c r="F28" s="31" t="s">
        <v>14</v>
      </c>
      <c r="G28" s="1" t="str" cm="1">
        <f t="array" ref="G28">_xlfn.IFS(Predictions!F30=1,$E28,Predictions!F30="X","Draw",Predictions!F30=2,$F28)</f>
        <v>Canada</v>
      </c>
      <c r="H28" s="1" t="str" cm="1">
        <f t="array" ref="H28">_xlfn.IFS(Predictions!H30=1,$E28,Predictions!H30="X","Draw",Predictions!H30=2,$F28)</f>
        <v>Canada</v>
      </c>
      <c r="I28" s="1" t="str" cm="1">
        <f t="array" ref="I28">_xlfn.IFS(Predictions!J30=1,$E28,Predictions!J30="X","Draw",Predictions!J30=2,$F28)</f>
        <v>Canada</v>
      </c>
      <c r="J28" s="1" t="str" cm="1">
        <f t="array" ref="J28">_xlfn.IFS(Predictions!L30=1,$E28,Predictions!L30="X","Draw",Predictions!L30=2,$F28)</f>
        <v>Canada</v>
      </c>
      <c r="K28" s="1" t="str" cm="1">
        <f t="array" ref="K28">_xlfn.IFS(Predictions!N30=1,$E28,Predictions!N30="X","Draw",Predictions!N30=2,$F28)</f>
        <v>Canada</v>
      </c>
    </row>
    <row r="29" spans="1:11" x14ac:dyDescent="0.25">
      <c r="A29" s="164">
        <v>46192</v>
      </c>
      <c r="B29" s="163">
        <v>0.125</v>
      </c>
      <c r="C29" s="163"/>
      <c r="D29" s="27" t="s">
        <v>6</v>
      </c>
      <c r="E29" s="28" t="s">
        <v>7</v>
      </c>
      <c r="F29" s="28" t="s">
        <v>9</v>
      </c>
      <c r="G29" s="1" t="str" cm="1">
        <f t="array" ref="G29">_xlfn.IFS(Predictions!F31=1,$E29,Predictions!F31="X","Draw",Predictions!F31=2,$F29)</f>
        <v>Mexico</v>
      </c>
      <c r="H29" s="1" t="str" cm="1">
        <f t="array" ref="H29">_xlfn.IFS(Predictions!H31=1,$E29,Predictions!H31="X","Draw",Predictions!H31=2,$F29)</f>
        <v>Mexico</v>
      </c>
      <c r="I29" s="1" t="str" cm="1">
        <f t="array" ref="I29">_xlfn.IFS(Predictions!J31=1,$E29,Predictions!J31="X","Draw",Predictions!J31=2,$F29)</f>
        <v>Draw</v>
      </c>
      <c r="J29" s="1" t="str" cm="1">
        <f t="array" ref="J29">_xlfn.IFS(Predictions!L31=1,$E29,Predictions!L31="X","Draw",Predictions!L31=2,$F29)</f>
        <v>Mexico</v>
      </c>
      <c r="K29" s="1" t="str" cm="1">
        <f t="array" ref="K29">_xlfn.IFS(Predictions!N31=1,$E29,Predictions!N31="X","Draw",Predictions!N31=2,$F29)</f>
        <v>Mexico</v>
      </c>
    </row>
    <row r="30" spans="1:11" x14ac:dyDescent="0.25">
      <c r="A30" s="164">
        <v>46192</v>
      </c>
      <c r="B30" s="163">
        <v>0.75</v>
      </c>
      <c r="C30" s="163"/>
      <c r="D30" s="35" t="s">
        <v>16</v>
      </c>
      <c r="E30" s="28" t="s">
        <v>20</v>
      </c>
      <c r="F30" s="28" t="s">
        <v>18</v>
      </c>
      <c r="G30" s="1" t="str" cm="1">
        <f t="array" ref="G30">_xlfn.IFS(Predictions!F32=1,$E30,Predictions!F32="X","Draw",Predictions!F32=2,$F30)</f>
        <v>Draw</v>
      </c>
      <c r="H30" s="1" t="str" cm="1">
        <f t="array" ref="H30">_xlfn.IFS(Predictions!H32=1,$E30,Predictions!H32="X","Draw",Predictions!H32=2,$F30)</f>
        <v>Morocco</v>
      </c>
      <c r="I30" s="1" t="str" cm="1">
        <f t="array" ref="I30">_xlfn.IFS(Predictions!J32=1,$E30,Predictions!J32="X","Draw",Predictions!J32=2,$F30)</f>
        <v>Morocco</v>
      </c>
      <c r="J30" s="1" t="str" cm="1">
        <f t="array" ref="J30">_xlfn.IFS(Predictions!L32=1,$E30,Predictions!L32="X","Draw",Predictions!L32=2,$F30)</f>
        <v>Morocco</v>
      </c>
      <c r="K30" s="1" t="str" cm="1">
        <f t="array" ref="K30">_xlfn.IFS(Predictions!N32=1,$E30,Predictions!N32="X","Draw",Predictions!N32=2,$F30)</f>
        <v>Morocco</v>
      </c>
    </row>
    <row r="31" spans="1:11" x14ac:dyDescent="0.25">
      <c r="A31" s="164">
        <v>46192</v>
      </c>
      <c r="B31" s="162">
        <v>0.875</v>
      </c>
      <c r="C31" s="162"/>
      <c r="D31" s="48" t="s">
        <v>21</v>
      </c>
      <c r="E31" s="31" t="s">
        <v>22</v>
      </c>
      <c r="F31" s="31" t="s">
        <v>24</v>
      </c>
      <c r="G31" s="1" t="str" cm="1">
        <f t="array" ref="G31">_xlfn.IFS(Predictions!F33=1,$E31,Predictions!F33="X","Draw",Predictions!F33=2,$F31)</f>
        <v>Draw</v>
      </c>
      <c r="H31" s="1" t="str" cm="1">
        <f t="array" ref="H31">_xlfn.IFS(Predictions!H33=1,$E31,Predictions!H33="X","Draw",Predictions!H33=2,$F31)</f>
        <v>USA</v>
      </c>
      <c r="I31" s="1" t="str" cm="1">
        <f t="array" ref="I31">_xlfn.IFS(Predictions!J33=1,$E31,Predictions!J33="X","Draw",Predictions!J33=2,$F31)</f>
        <v>Draw</v>
      </c>
      <c r="J31" s="1" t="str" cm="1">
        <f t="array" ref="J31">_xlfn.IFS(Predictions!L33=1,$E31,Predictions!L33="X","Draw",Predictions!L33=2,$F31)</f>
        <v>USA</v>
      </c>
      <c r="K31" s="1" t="str" cm="1">
        <f t="array" ref="K31">_xlfn.IFS(Predictions!N33=1,$E31,Predictions!N33="X","Draw",Predictions!N33=2,$F31)</f>
        <v>USA</v>
      </c>
    </row>
    <row r="32" spans="1:11" x14ac:dyDescent="0.25">
      <c r="A32" s="164">
        <v>46193</v>
      </c>
      <c r="B32" s="163">
        <v>0</v>
      </c>
      <c r="C32" s="163"/>
      <c r="D32" s="35" t="s">
        <v>16</v>
      </c>
      <c r="E32" s="28" t="s">
        <v>17</v>
      </c>
      <c r="F32" s="28" t="s">
        <v>19</v>
      </c>
      <c r="G32" s="1" t="str" cm="1">
        <f t="array" ref="G32">_xlfn.IFS(Predictions!F34=1,$E32,Predictions!F34="X","Draw",Predictions!F34=2,$F32)</f>
        <v>Brazil</v>
      </c>
      <c r="H32" s="1" t="str" cm="1">
        <f t="array" ref="H32">_xlfn.IFS(Predictions!H34=1,$E32,Predictions!H34="X","Draw",Predictions!H34=2,$F32)</f>
        <v>Brazil</v>
      </c>
      <c r="I32" s="1" t="str" cm="1">
        <f t="array" ref="I32">_xlfn.IFS(Predictions!J34=1,$E32,Predictions!J34="X","Draw",Predictions!J34=2,$F32)</f>
        <v>Brazil</v>
      </c>
      <c r="J32" s="1" t="str" cm="1">
        <f t="array" ref="J32">_xlfn.IFS(Predictions!L34=1,$E32,Predictions!L34="X","Draw",Predictions!L34=2,$F32)</f>
        <v>Brazil</v>
      </c>
      <c r="K32" s="1" t="str" cm="1">
        <f t="array" ref="K32">_xlfn.IFS(Predictions!N34=1,$E32,Predictions!N34="X","Draw",Predictions!N34=2,$F32)</f>
        <v>Brazil</v>
      </c>
    </row>
    <row r="33" spans="1:11" x14ac:dyDescent="0.25">
      <c r="A33" s="164">
        <v>46193</v>
      </c>
      <c r="B33" s="163">
        <v>0.125</v>
      </c>
      <c r="C33" s="163"/>
      <c r="D33" s="32" t="s">
        <v>21</v>
      </c>
      <c r="E33" s="28" t="s">
        <v>25</v>
      </c>
      <c r="F33" s="28" t="s">
        <v>23</v>
      </c>
      <c r="G33" s="1" t="str" cm="1">
        <f t="array" ref="G33">_xlfn.IFS(Predictions!F35=1,$E33,Predictions!F35="X","Draw",Predictions!F35=2,$F33)</f>
        <v>Türkiye</v>
      </c>
      <c r="H33" s="1" t="str" cm="1">
        <f t="array" ref="H33">_xlfn.IFS(Predictions!H35=1,$E33,Predictions!H35="X","Draw",Predictions!H35=2,$F33)</f>
        <v>Draw</v>
      </c>
      <c r="I33" s="1" t="str" cm="1">
        <f t="array" ref="I33">_xlfn.IFS(Predictions!J35=1,$E33,Predictions!J35="X","Draw",Predictions!J35=2,$F33)</f>
        <v>Türkiye</v>
      </c>
      <c r="J33" s="1" t="str" cm="1">
        <f t="array" ref="J33">_xlfn.IFS(Predictions!L35=1,$E33,Predictions!L35="X","Draw",Predictions!L35=2,$F33)</f>
        <v>Türkiye</v>
      </c>
      <c r="K33" s="1" t="str" cm="1">
        <f t="array" ref="K33">_xlfn.IFS(Predictions!N35=1,$E33,Predictions!N35="X","Draw",Predictions!N35=2,$F33)</f>
        <v>Türkiye</v>
      </c>
    </row>
    <row r="34" spans="1:11" x14ac:dyDescent="0.25">
      <c r="A34" s="164">
        <v>46193</v>
      </c>
      <c r="B34" s="163">
        <v>0.75</v>
      </c>
      <c r="C34" s="163"/>
      <c r="D34" s="36" t="s">
        <v>26</v>
      </c>
      <c r="E34" s="28" t="s">
        <v>27</v>
      </c>
      <c r="F34" s="28" t="s">
        <v>29</v>
      </c>
      <c r="G34" s="1" t="str" cm="1">
        <f t="array" ref="G34">_xlfn.IFS(Predictions!F36=1,$E34,Predictions!F36="X","Draw",Predictions!F36=2,$F34)</f>
        <v>Germany</v>
      </c>
      <c r="H34" s="1" t="str" cm="1">
        <f t="array" ref="H34">_xlfn.IFS(Predictions!H36=1,$E34,Predictions!H36="X","Draw",Predictions!H36=2,$F34)</f>
        <v>Germany</v>
      </c>
      <c r="I34" s="1" t="str" cm="1">
        <f t="array" ref="I34">_xlfn.IFS(Predictions!J36=1,$E34,Predictions!J36="X","Draw",Predictions!J36=2,$F34)</f>
        <v>Germany</v>
      </c>
      <c r="J34" s="1" t="str" cm="1">
        <f t="array" ref="J34">_xlfn.IFS(Predictions!L36=1,$E34,Predictions!L36="X","Draw",Predictions!L36=2,$F34)</f>
        <v>Germany</v>
      </c>
      <c r="K34" s="1" t="str" cm="1">
        <f t="array" ref="K34">_xlfn.IFS(Predictions!N36=1,$E34,Predictions!N36="X","Draw",Predictions!N36=2,$F34)</f>
        <v>Germany</v>
      </c>
    </row>
    <row r="35" spans="1:11" x14ac:dyDescent="0.25">
      <c r="A35" s="164">
        <v>46193</v>
      </c>
      <c r="B35" s="162">
        <v>0.875</v>
      </c>
      <c r="C35" s="162"/>
      <c r="D35" s="37" t="s">
        <v>31</v>
      </c>
      <c r="E35" s="31" t="s">
        <v>32</v>
      </c>
      <c r="F35" s="31" t="s">
        <v>34</v>
      </c>
      <c r="G35" s="1" t="str" cm="1">
        <f t="array" ref="G35">_xlfn.IFS(Predictions!F37=1,$E35,Predictions!F37="X","Draw",Predictions!F37=2,$F35)</f>
        <v>Netherlands</v>
      </c>
      <c r="H35" s="1" t="str" cm="1">
        <f t="array" ref="H35">_xlfn.IFS(Predictions!H37=1,$E35,Predictions!H37="X","Draw",Predictions!H37=2,$F35)</f>
        <v>Netherlands</v>
      </c>
      <c r="I35" s="1" t="str" cm="1">
        <f t="array" ref="I35">_xlfn.IFS(Predictions!J37=1,$E35,Predictions!J37="X","Draw",Predictions!J37=2,$F35)</f>
        <v>Netherlands</v>
      </c>
      <c r="J35" s="1" t="str" cm="1">
        <f t="array" ref="J35">_xlfn.IFS(Predictions!L37=1,$E35,Predictions!L37="X","Draw",Predictions!L37=2,$F35)</f>
        <v>Netherlands</v>
      </c>
      <c r="K35" s="1" t="str" cm="1">
        <f t="array" ref="K35">_xlfn.IFS(Predictions!N37=1,$E35,Predictions!N37="X","Draw",Predictions!N37=2,$F35)</f>
        <v>Netherlands</v>
      </c>
    </row>
    <row r="36" spans="1:11" x14ac:dyDescent="0.25">
      <c r="A36" s="164">
        <v>46194</v>
      </c>
      <c r="B36" s="163">
        <v>0</v>
      </c>
      <c r="C36" s="163"/>
      <c r="D36" s="36" t="s">
        <v>26</v>
      </c>
      <c r="E36" s="28" t="s">
        <v>30</v>
      </c>
      <c r="F36" s="28" t="s">
        <v>28</v>
      </c>
      <c r="G36" s="1" t="str" cm="1">
        <f t="array" ref="G36">_xlfn.IFS(Predictions!F38=1,$E36,Predictions!F38="X","Draw",Predictions!F38=2,$F36)</f>
        <v>Draw</v>
      </c>
      <c r="H36" s="1" t="str" cm="1">
        <f t="array" ref="H36">_xlfn.IFS(Predictions!H38=1,$E36,Predictions!H38="X","Draw",Predictions!H38=2,$F36)</f>
        <v>Ecuador</v>
      </c>
      <c r="I36" s="1" t="str" cm="1">
        <f t="array" ref="I36">_xlfn.IFS(Predictions!J38=1,$E36,Predictions!J38="X","Draw",Predictions!J38=2,$F36)</f>
        <v>Ecuador</v>
      </c>
      <c r="J36" s="1" t="str" cm="1">
        <f t="array" ref="J36">_xlfn.IFS(Predictions!L38=1,$E36,Predictions!L38="X","Draw",Predictions!L38=2,$F36)</f>
        <v>Ecuador</v>
      </c>
      <c r="K36" s="1" t="str" cm="1">
        <f t="array" ref="K36">_xlfn.IFS(Predictions!N38=1,$E36,Predictions!N38="X","Draw",Predictions!N38=2,$F36)</f>
        <v>Ecuador</v>
      </c>
    </row>
    <row r="37" spans="1:11" x14ac:dyDescent="0.25">
      <c r="A37" s="164">
        <v>46194</v>
      </c>
      <c r="B37" s="163">
        <v>0.125</v>
      </c>
      <c r="C37" s="163"/>
      <c r="D37" s="38" t="s">
        <v>31</v>
      </c>
      <c r="E37" s="28" t="s">
        <v>35</v>
      </c>
      <c r="F37" s="28" t="s">
        <v>33</v>
      </c>
      <c r="G37" s="1" t="str" cm="1">
        <f t="array" ref="G37">_xlfn.IFS(Predictions!F39=1,$E37,Predictions!F39="X","Draw",Predictions!F39=2,$F37)</f>
        <v>Japan</v>
      </c>
      <c r="H37" s="1" t="str" cm="1">
        <f t="array" ref="H37">_xlfn.IFS(Predictions!H39=1,$E37,Predictions!H39="X","Draw",Predictions!H39=2,$F37)</f>
        <v>Japan</v>
      </c>
      <c r="I37" s="1" t="str" cm="1">
        <f t="array" ref="I37">_xlfn.IFS(Predictions!J39=1,$E37,Predictions!J39="X","Draw",Predictions!J39=2,$F37)</f>
        <v>Japan</v>
      </c>
      <c r="J37" s="1" t="str" cm="1">
        <f t="array" ref="J37">_xlfn.IFS(Predictions!L39=1,$E37,Predictions!L39="X","Draw",Predictions!L39=2,$F37)</f>
        <v>Japan</v>
      </c>
      <c r="K37" s="1" t="str" cm="1">
        <f t="array" ref="K37">_xlfn.IFS(Predictions!N39=1,$E37,Predictions!N39="X","Draw",Predictions!N39=2,$F37)</f>
        <v>Japan</v>
      </c>
    </row>
    <row r="38" spans="1:11" x14ac:dyDescent="0.25">
      <c r="A38" s="164">
        <v>46194</v>
      </c>
      <c r="B38" s="163">
        <v>0.75</v>
      </c>
      <c r="C38" s="163"/>
      <c r="D38" s="39" t="s">
        <v>36</v>
      </c>
      <c r="E38" s="28" t="s">
        <v>37</v>
      </c>
      <c r="F38" s="28" t="s">
        <v>39</v>
      </c>
      <c r="G38" s="1" t="str" cm="1">
        <f t="array" ref="G38">_xlfn.IFS(Predictions!F40=1,$E38,Predictions!F40="X","Draw",Predictions!F40=2,$F38)</f>
        <v>Draw</v>
      </c>
      <c r="H38" s="1" t="str" cm="1">
        <f t="array" ref="H38">_xlfn.IFS(Predictions!H40=1,$E38,Predictions!H40="X","Draw",Predictions!H40=2,$F38)</f>
        <v>Draw</v>
      </c>
      <c r="I38" s="1" t="str" cm="1">
        <f t="array" ref="I38">_xlfn.IFS(Predictions!J40=1,$E38,Predictions!J40="X","Draw",Predictions!J40=2,$F38)</f>
        <v>Belgium</v>
      </c>
      <c r="J38" s="1" t="str" cm="1">
        <f t="array" ref="J38">_xlfn.IFS(Predictions!L40=1,$E38,Predictions!L40="X","Draw",Predictions!L40=2,$F38)</f>
        <v>Belgium</v>
      </c>
      <c r="K38" s="1" t="str" cm="1">
        <f t="array" ref="K38">_xlfn.IFS(Predictions!N40=1,$E38,Predictions!N40="X","Draw",Predictions!N40=2,$F38)</f>
        <v>Belgium</v>
      </c>
    </row>
    <row r="39" spans="1:11" x14ac:dyDescent="0.25">
      <c r="A39" s="164">
        <v>46194</v>
      </c>
      <c r="B39" s="163">
        <v>0.875</v>
      </c>
      <c r="C39" s="163"/>
      <c r="D39" s="40" t="s">
        <v>41</v>
      </c>
      <c r="E39" s="28" t="s">
        <v>42</v>
      </c>
      <c r="F39" s="28" t="s">
        <v>44</v>
      </c>
      <c r="G39" s="1" t="str" cm="1">
        <f t="array" ref="G39">_xlfn.IFS(Predictions!F41=1,$E39,Predictions!F41="X","Draw",Predictions!F41=2,$F39)</f>
        <v>Spain</v>
      </c>
      <c r="H39" s="1" t="str" cm="1">
        <f t="array" ref="H39">_xlfn.IFS(Predictions!H41=1,$E39,Predictions!H41="X","Draw",Predictions!H41=2,$F39)</f>
        <v>Spain</v>
      </c>
      <c r="I39" s="1" t="str" cm="1">
        <f t="array" ref="I39">_xlfn.IFS(Predictions!J41=1,$E39,Predictions!J41="X","Draw",Predictions!J41=2,$F39)</f>
        <v>Spain</v>
      </c>
      <c r="J39" s="1" t="str" cm="1">
        <f t="array" ref="J39">_xlfn.IFS(Predictions!L41=1,$E39,Predictions!L41="X","Draw",Predictions!L41=2,$F39)</f>
        <v>Spain</v>
      </c>
      <c r="K39" s="1" t="str" cm="1">
        <f t="array" ref="K39">_xlfn.IFS(Predictions!N41=1,$E39,Predictions!N41="X","Draw",Predictions!N41=2,$F39)</f>
        <v>Spain</v>
      </c>
    </row>
    <row r="40" spans="1:11" x14ac:dyDescent="0.25">
      <c r="A40" s="164">
        <v>46194</v>
      </c>
      <c r="B40" s="162">
        <v>0</v>
      </c>
      <c r="C40" s="162"/>
      <c r="D40" s="41" t="s">
        <v>41</v>
      </c>
      <c r="E40" s="31" t="s">
        <v>45</v>
      </c>
      <c r="F40" s="31" t="s">
        <v>43</v>
      </c>
      <c r="G40" s="1" t="str" cm="1">
        <f t="array" ref="G40">_xlfn.IFS(Predictions!F42=1,$E40,Predictions!F42="X","Draw",Predictions!F42=2,$F40)</f>
        <v>Uruguay</v>
      </c>
      <c r="H40" s="1" t="str" cm="1">
        <f t="array" ref="H40">_xlfn.IFS(Predictions!H42=1,$E40,Predictions!H42="X","Draw",Predictions!H42=2,$F40)</f>
        <v>Uruguay</v>
      </c>
      <c r="I40" s="1" t="str" cm="1">
        <f t="array" ref="I40">_xlfn.IFS(Predictions!J42=1,$E40,Predictions!J42="X","Draw",Predictions!J42=2,$F40)</f>
        <v>Uruguay</v>
      </c>
      <c r="J40" s="1" t="str" cm="1">
        <f t="array" ref="J40">_xlfn.IFS(Predictions!L42=1,$E40,Predictions!L42="X","Draw",Predictions!L42=2,$F40)</f>
        <v>Uruguay</v>
      </c>
      <c r="K40" s="1" t="str" cm="1">
        <f t="array" ref="K40">_xlfn.IFS(Predictions!N42=1,$E40,Predictions!N42="X","Draw",Predictions!N42=2,$F40)</f>
        <v>Uruguay</v>
      </c>
    </row>
    <row r="41" spans="1:11" x14ac:dyDescent="0.25">
      <c r="A41" s="164">
        <v>46195</v>
      </c>
      <c r="B41" s="163">
        <v>0.125</v>
      </c>
      <c r="C41" s="163"/>
      <c r="D41" s="39" t="s">
        <v>36</v>
      </c>
      <c r="E41" s="28" t="s">
        <v>40</v>
      </c>
      <c r="F41" s="28" t="s">
        <v>38</v>
      </c>
      <c r="G41" s="1" t="str" cm="1">
        <f t="array" ref="G41">_xlfn.IFS(Predictions!F43=1,$E41,Predictions!F43="X","Draw",Predictions!F43=2,$F41)</f>
        <v>Draw</v>
      </c>
      <c r="H41" s="1" t="str" cm="1">
        <f t="array" ref="H41">_xlfn.IFS(Predictions!H43=1,$E41,Predictions!H43="X","Draw",Predictions!H43=2,$F41)</f>
        <v>Egypt</v>
      </c>
      <c r="I41" s="1" t="str" cm="1">
        <f t="array" ref="I41">_xlfn.IFS(Predictions!J43=1,$E41,Predictions!J43="X","Draw",Predictions!J43=2,$F41)</f>
        <v>Egypt</v>
      </c>
      <c r="J41" s="1" t="str" cm="1">
        <f t="array" ref="J41">_xlfn.IFS(Predictions!L43=1,$E41,Predictions!L43="X","Draw",Predictions!L43=2,$F41)</f>
        <v>Egypt</v>
      </c>
      <c r="K41" s="1" t="str" cm="1">
        <f t="array" ref="K41">_xlfn.IFS(Predictions!N43=1,$E41,Predictions!N43="X","Draw",Predictions!N43=2,$F41)</f>
        <v>Egypt</v>
      </c>
    </row>
    <row r="42" spans="1:11" x14ac:dyDescent="0.25">
      <c r="A42" s="164">
        <v>46195</v>
      </c>
      <c r="B42" s="163">
        <v>0.75</v>
      </c>
      <c r="C42" s="163"/>
      <c r="D42" s="42" t="s">
        <v>46</v>
      </c>
      <c r="E42" s="28" t="s">
        <v>47</v>
      </c>
      <c r="F42" s="28" t="s">
        <v>49</v>
      </c>
      <c r="G42" s="1" t="str" cm="1">
        <f t="array" ref="G42">_xlfn.IFS(Predictions!F44=1,$E42,Predictions!F44="X","Draw",Predictions!F44=2,$F42)</f>
        <v>France</v>
      </c>
      <c r="H42" s="1" t="str" cm="1">
        <f t="array" ref="H42">_xlfn.IFS(Predictions!H44=1,$E42,Predictions!H44="X","Draw",Predictions!H44=2,$F42)</f>
        <v>France</v>
      </c>
      <c r="I42" s="1" t="str" cm="1">
        <f t="array" ref="I42">_xlfn.IFS(Predictions!J44=1,$E42,Predictions!J44="X","Draw",Predictions!J44=2,$F42)</f>
        <v>France</v>
      </c>
      <c r="J42" s="1" t="str" cm="1">
        <f t="array" ref="J42">_xlfn.IFS(Predictions!L44=1,$E42,Predictions!L44="X","Draw",Predictions!L44=2,$F42)</f>
        <v>France</v>
      </c>
      <c r="K42" s="1" t="str" cm="1">
        <f t="array" ref="K42">_xlfn.IFS(Predictions!N44=1,$E42,Predictions!N44="X","Draw",Predictions!N44=2,$F42)</f>
        <v>France</v>
      </c>
    </row>
    <row r="43" spans="1:11" x14ac:dyDescent="0.25">
      <c r="A43" s="164">
        <v>46195</v>
      </c>
      <c r="B43" s="162">
        <v>0.875</v>
      </c>
      <c r="C43" s="162"/>
      <c r="D43" s="49" t="s">
        <v>51</v>
      </c>
      <c r="E43" s="31" t="s">
        <v>52</v>
      </c>
      <c r="F43" s="31" t="s">
        <v>54</v>
      </c>
      <c r="G43" s="1" t="str" cm="1">
        <f t="array" ref="G43">_xlfn.IFS(Predictions!F45=1,$E43,Predictions!F45="X","Draw",Predictions!F45=2,$F43)</f>
        <v>Argentina</v>
      </c>
      <c r="H43" s="1" t="str" cm="1">
        <f t="array" ref="H43">_xlfn.IFS(Predictions!H45=1,$E43,Predictions!H45="X","Draw",Predictions!H45=2,$F43)</f>
        <v>Draw</v>
      </c>
      <c r="I43" s="1" t="str" cm="1">
        <f t="array" ref="I43">_xlfn.IFS(Predictions!J45=1,$E43,Predictions!J45="X","Draw",Predictions!J45=2,$F43)</f>
        <v>Argentina</v>
      </c>
      <c r="J43" s="1" t="str" cm="1">
        <f t="array" ref="J43">_xlfn.IFS(Predictions!L45=1,$E43,Predictions!L45="X","Draw",Predictions!L45=2,$F43)</f>
        <v>Argentina</v>
      </c>
      <c r="K43" s="1" t="str" cm="1">
        <f t="array" ref="K43">_xlfn.IFS(Predictions!N45=1,$E43,Predictions!N45="X","Draw",Predictions!N45=2,$F43)</f>
        <v>Argentina</v>
      </c>
    </row>
    <row r="44" spans="1:11" x14ac:dyDescent="0.25">
      <c r="A44" s="164">
        <v>46196</v>
      </c>
      <c r="B44" s="163">
        <v>0</v>
      </c>
      <c r="C44" s="163"/>
      <c r="D44" s="42" t="s">
        <v>46</v>
      </c>
      <c r="E44" s="28" t="s">
        <v>50</v>
      </c>
      <c r="F44" s="28" t="s">
        <v>48</v>
      </c>
      <c r="G44" s="1" t="str" cm="1">
        <f t="array" ref="G44">_xlfn.IFS(Predictions!F46=1,$E44,Predictions!F46="X","Draw",Predictions!F46=2,$F44)</f>
        <v>Senegal</v>
      </c>
      <c r="H44" s="1" t="str" cm="1">
        <f t="array" ref="H44">_xlfn.IFS(Predictions!H46=1,$E44,Predictions!H46="X","Draw",Predictions!H46=2,$F44)</f>
        <v>Norway</v>
      </c>
      <c r="I44" s="1" t="str" cm="1">
        <f t="array" ref="I44">_xlfn.IFS(Predictions!J46=1,$E44,Predictions!J46="X","Draw",Predictions!J46=2,$F44)</f>
        <v>Senegal</v>
      </c>
      <c r="J44" s="1" t="str" cm="1">
        <f t="array" ref="J44">_xlfn.IFS(Predictions!L46=1,$E44,Predictions!L46="X","Draw",Predictions!L46=2,$F44)</f>
        <v>Draw</v>
      </c>
      <c r="K44" s="1" t="str" cm="1">
        <f t="array" ref="K44">_xlfn.IFS(Predictions!N46=1,$E44,Predictions!N46="X","Draw",Predictions!N46=2,$F44)</f>
        <v>Draw</v>
      </c>
    </row>
    <row r="45" spans="1:11" x14ac:dyDescent="0.25">
      <c r="A45" s="164">
        <v>46196</v>
      </c>
      <c r="B45" s="163">
        <v>0.125</v>
      </c>
      <c r="C45" s="163"/>
      <c r="D45" s="44" t="s">
        <v>51</v>
      </c>
      <c r="E45" s="28" t="s">
        <v>55</v>
      </c>
      <c r="F45" s="28" t="s">
        <v>53</v>
      </c>
      <c r="G45" s="1" t="str" cm="1">
        <f t="array" ref="G45">_xlfn.IFS(Predictions!F47=1,$E45,Predictions!F47="X","Draw",Predictions!F47=2,$F45)</f>
        <v>Algeria</v>
      </c>
      <c r="H45" s="1" t="str" cm="1">
        <f t="array" ref="H45">_xlfn.IFS(Predictions!H47=1,$E45,Predictions!H47="X","Draw",Predictions!H47=2,$F45)</f>
        <v>Algeria</v>
      </c>
      <c r="I45" s="1" t="str" cm="1">
        <f t="array" ref="I45">_xlfn.IFS(Predictions!J47=1,$E45,Predictions!J47="X","Draw",Predictions!J47=2,$F45)</f>
        <v>Algeria</v>
      </c>
      <c r="J45" s="1" t="str" cm="1">
        <f t="array" ref="J45">_xlfn.IFS(Predictions!L47=1,$E45,Predictions!L47="X","Draw",Predictions!L47=2,$F45)</f>
        <v>Algeria</v>
      </c>
      <c r="K45" s="1" t="str" cm="1">
        <f t="array" ref="K45">_xlfn.IFS(Predictions!N47=1,$E45,Predictions!N47="X","Draw",Predictions!N47=2,$F45)</f>
        <v>Algeria</v>
      </c>
    </row>
    <row r="46" spans="1:11" x14ac:dyDescent="0.25">
      <c r="A46" s="164">
        <v>46196</v>
      </c>
      <c r="B46" s="163">
        <v>0.75</v>
      </c>
      <c r="C46" s="163"/>
      <c r="D46" s="45" t="s">
        <v>56</v>
      </c>
      <c r="E46" s="28" t="s">
        <v>57</v>
      </c>
      <c r="F46" s="28" t="s">
        <v>59</v>
      </c>
      <c r="G46" s="1" t="str" cm="1">
        <f t="array" ref="G46">_xlfn.IFS(Predictions!F48=1,$E46,Predictions!F48="X","Draw",Predictions!F48=2,$F46)</f>
        <v>Portugal</v>
      </c>
      <c r="H46" s="1" t="str" cm="1">
        <f t="array" ref="H46">_xlfn.IFS(Predictions!H48=1,$E46,Predictions!H48="X","Draw",Predictions!H48=2,$F46)</f>
        <v>Portugal</v>
      </c>
      <c r="I46" s="1" t="str" cm="1">
        <f t="array" ref="I46">_xlfn.IFS(Predictions!J48=1,$E46,Predictions!J48="X","Draw",Predictions!J48=2,$F46)</f>
        <v>Portugal</v>
      </c>
      <c r="J46" s="1" t="str" cm="1">
        <f t="array" ref="J46">_xlfn.IFS(Predictions!L48=1,$E46,Predictions!L48="X","Draw",Predictions!L48=2,$F46)</f>
        <v>Portugal</v>
      </c>
      <c r="K46" s="1" t="str" cm="1">
        <f t="array" ref="K46">_xlfn.IFS(Predictions!N48=1,$E46,Predictions!N48="X","Draw",Predictions!N48=2,$F46)</f>
        <v>Portugal</v>
      </c>
    </row>
    <row r="47" spans="1:11" x14ac:dyDescent="0.25">
      <c r="A47" s="164">
        <v>46196</v>
      </c>
      <c r="B47" s="162">
        <v>0.875</v>
      </c>
      <c r="C47" s="162"/>
      <c r="D47" s="46" t="s">
        <v>61</v>
      </c>
      <c r="E47" s="31" t="s">
        <v>62</v>
      </c>
      <c r="F47" s="31" t="s">
        <v>64</v>
      </c>
      <c r="G47" s="1" t="str" cm="1">
        <f t="array" ref="G47">_xlfn.IFS(Predictions!F49=1,$E47,Predictions!F49="X","Draw",Predictions!F49=2,$F47)</f>
        <v>England</v>
      </c>
      <c r="H47" s="1" t="str" cm="1">
        <f t="array" ref="H47">_xlfn.IFS(Predictions!H49=1,$E47,Predictions!H49="X","Draw",Predictions!H49=2,$F47)</f>
        <v>Draw</v>
      </c>
      <c r="I47" s="1" t="str" cm="1">
        <f t="array" ref="I47">_xlfn.IFS(Predictions!J49=1,$E47,Predictions!J49="X","Draw",Predictions!J49=2,$F47)</f>
        <v>England</v>
      </c>
      <c r="J47" s="1" t="str" cm="1">
        <f t="array" ref="J47">_xlfn.IFS(Predictions!L49=1,$E47,Predictions!L49="X","Draw",Predictions!L49=2,$F47)</f>
        <v>England</v>
      </c>
      <c r="K47" s="1" t="str" cm="1">
        <f t="array" ref="K47">_xlfn.IFS(Predictions!N49=1,$E47,Predictions!N49="X","Draw",Predictions!N49=2,$F47)</f>
        <v>England</v>
      </c>
    </row>
    <row r="48" spans="1:11" x14ac:dyDescent="0.25">
      <c r="A48" s="164">
        <v>46197</v>
      </c>
      <c r="B48" s="163">
        <v>0</v>
      </c>
      <c r="C48" s="163"/>
      <c r="D48" s="45" t="s">
        <v>56</v>
      </c>
      <c r="E48" s="28" t="s">
        <v>60</v>
      </c>
      <c r="F48" s="28" t="s">
        <v>58</v>
      </c>
      <c r="G48" s="1" t="str" cm="1">
        <f t="array" ref="G48">_xlfn.IFS(Predictions!F50=1,$E48,Predictions!F50="X","Draw",Predictions!F50=2,$F48)</f>
        <v>Draw</v>
      </c>
      <c r="H48" s="1" t="str" cm="1">
        <f t="array" ref="H48">_xlfn.IFS(Predictions!H50=1,$E48,Predictions!H50="X","Draw",Predictions!H50=2,$F48)</f>
        <v>Draw</v>
      </c>
      <c r="I48" s="1" t="str" cm="1">
        <f t="array" ref="I48">_xlfn.IFS(Predictions!J50=1,$E48,Predictions!J50="X","Draw",Predictions!J50=2,$F48)</f>
        <v>Colombia</v>
      </c>
      <c r="J48" s="1" t="str" cm="1">
        <f t="array" ref="J48">_xlfn.IFS(Predictions!L50=1,$E48,Predictions!L50="X","Draw",Predictions!L50=2,$F48)</f>
        <v>Colombia</v>
      </c>
      <c r="K48" s="1" t="str" cm="1">
        <f t="array" ref="K48">_xlfn.IFS(Predictions!N50=1,$E48,Predictions!N50="X","Draw",Predictions!N50=2,$F48)</f>
        <v>Colombia</v>
      </c>
    </row>
    <row r="49" spans="1:11" x14ac:dyDescent="0.25">
      <c r="A49" s="164">
        <v>46197</v>
      </c>
      <c r="B49" s="163">
        <v>0.125</v>
      </c>
      <c r="C49" s="163"/>
      <c r="D49" s="47" t="s">
        <v>61</v>
      </c>
      <c r="E49" s="28" t="s">
        <v>65</v>
      </c>
      <c r="F49" s="28" t="s">
        <v>63</v>
      </c>
      <c r="G49" s="1" t="str" cm="1">
        <f t="array" ref="G49">_xlfn.IFS(Predictions!F51=1,$E49,Predictions!F51="X","Draw",Predictions!F51=2,$F49)</f>
        <v>Croatia</v>
      </c>
      <c r="H49" s="1" t="str" cm="1">
        <f t="array" ref="H49">_xlfn.IFS(Predictions!H51=1,$E49,Predictions!H51="X","Draw",Predictions!H51=2,$F49)</f>
        <v>Croatia</v>
      </c>
      <c r="I49" s="1" t="str" cm="1">
        <f t="array" ref="I49">_xlfn.IFS(Predictions!J51=1,$E49,Predictions!J51="X","Draw",Predictions!J51=2,$F49)</f>
        <v>Croatia</v>
      </c>
      <c r="J49" s="1" t="str" cm="1">
        <f t="array" ref="J49">_xlfn.IFS(Predictions!L51=1,$E49,Predictions!L51="X","Draw",Predictions!L51=2,$F49)</f>
        <v>Croatia</v>
      </c>
      <c r="K49" s="1" t="str" cm="1">
        <f t="array" ref="K49">_xlfn.IFS(Predictions!N51=1,$E49,Predictions!N51="X","Draw",Predictions!N51=2,$F49)</f>
        <v>Croatia</v>
      </c>
    </row>
    <row r="50" spans="1:11" x14ac:dyDescent="0.25">
      <c r="A50" s="164">
        <v>46197</v>
      </c>
      <c r="B50" s="163">
        <v>0.83333333333333337</v>
      </c>
      <c r="C50" s="163"/>
      <c r="D50" s="33" t="s">
        <v>11</v>
      </c>
      <c r="E50" s="28" t="s">
        <v>15</v>
      </c>
      <c r="F50" s="28" t="s">
        <v>12</v>
      </c>
      <c r="G50" s="1" t="str" cm="1">
        <f t="array" ref="G50">_xlfn.IFS(Predictions!F52=1,$E50,Predictions!F52="X","Draw",Predictions!F52=2,$F50)</f>
        <v>Switzerland</v>
      </c>
      <c r="H50" s="1" t="str" cm="1">
        <f t="array" ref="H50">_xlfn.IFS(Predictions!H52=1,$E50,Predictions!H52="X","Draw",Predictions!H52=2,$F50)</f>
        <v>Draw</v>
      </c>
      <c r="I50" s="1" t="str" cm="1">
        <f t="array" ref="I50">_xlfn.IFS(Predictions!J52=1,$E50,Predictions!J52="X","Draw",Predictions!J52=2,$F50)</f>
        <v>Switzerland</v>
      </c>
      <c r="J50" s="1" t="str" cm="1">
        <f t="array" ref="J50">_xlfn.IFS(Predictions!L52=1,$E50,Predictions!L52="X","Draw",Predictions!L52=2,$F50)</f>
        <v>Switzerland</v>
      </c>
      <c r="K50" s="1" t="str" cm="1">
        <f t="array" ref="K50">_xlfn.IFS(Predictions!N52=1,$E50,Predictions!N52="X","Draw",Predictions!N52=2,$F50)</f>
        <v>Switzerland</v>
      </c>
    </row>
    <row r="51" spans="1:11" x14ac:dyDescent="0.25">
      <c r="A51" s="164">
        <v>46197</v>
      </c>
      <c r="B51" s="163">
        <v>0.83333333333333337</v>
      </c>
      <c r="C51" s="163"/>
      <c r="D51" s="33" t="s">
        <v>11</v>
      </c>
      <c r="E51" s="28" t="s">
        <v>13</v>
      </c>
      <c r="F51" s="28" t="s">
        <v>14</v>
      </c>
      <c r="G51" s="1" t="str" cm="1">
        <f t="array" ref="G51">_xlfn.IFS(Predictions!F53=1,$E51,Predictions!F53="X","Draw",Predictions!F53=2,$F51)</f>
        <v>Draw</v>
      </c>
      <c r="H51" s="1" t="str" cm="1">
        <f t="array" ref="H51">_xlfn.IFS(Predictions!H53=1,$E51,Predictions!H53="X","Draw",Predictions!H53=2,$F51)</f>
        <v>Bosnia and Herzegovina</v>
      </c>
      <c r="I51" s="1" t="str" cm="1">
        <f t="array" ref="I51">_xlfn.IFS(Predictions!J53=1,$E51,Predictions!J53="X","Draw",Predictions!J53=2,$F51)</f>
        <v>Bosnia and Herzegovina</v>
      </c>
      <c r="J51" s="1" t="str" cm="1">
        <f t="array" ref="J51">_xlfn.IFS(Predictions!L53=1,$E51,Predictions!L53="X","Draw",Predictions!L53=2,$F51)</f>
        <v>Bosnia and Herzegovina</v>
      </c>
      <c r="K51" s="1" t="str" cm="1">
        <f t="array" ref="K51">_xlfn.IFS(Predictions!N53=1,$E51,Predictions!N53="X","Draw",Predictions!N53=2,$F51)</f>
        <v>Bosnia and Herzegovina</v>
      </c>
    </row>
    <row r="52" spans="1:11" x14ac:dyDescent="0.25">
      <c r="A52" s="164">
        <v>46197</v>
      </c>
      <c r="B52" s="163">
        <v>0.83333333333333337</v>
      </c>
      <c r="C52" s="163"/>
      <c r="D52" s="35" t="s">
        <v>16</v>
      </c>
      <c r="E52" s="28" t="s">
        <v>20</v>
      </c>
      <c r="F52" s="28" t="s">
        <v>17</v>
      </c>
      <c r="G52" s="1" t="str" cm="1">
        <f t="array" ref="G52">_xlfn.IFS(Predictions!F54=1,$E52,Predictions!F54="X","Draw",Predictions!F54=2,$F52)</f>
        <v>Draw</v>
      </c>
      <c r="H52" s="1" t="str" cm="1">
        <f t="array" ref="H52">_xlfn.IFS(Predictions!H54=1,$E52,Predictions!H54="X","Draw",Predictions!H54=2,$F52)</f>
        <v>Draw</v>
      </c>
      <c r="I52" s="1" t="str" cm="1">
        <f t="array" ref="I52">_xlfn.IFS(Predictions!J54=1,$E52,Predictions!J54="X","Draw",Predictions!J54=2,$F52)</f>
        <v>Brazil</v>
      </c>
      <c r="J52" s="1" t="str" cm="1">
        <f t="array" ref="J52">_xlfn.IFS(Predictions!L54=1,$E52,Predictions!L54="X","Draw",Predictions!L54=2,$F52)</f>
        <v>Brazil</v>
      </c>
      <c r="K52" s="1" t="str" cm="1">
        <f t="array" ref="K52">_xlfn.IFS(Predictions!N54=1,$E52,Predictions!N54="X","Draw",Predictions!N54=2,$F52)</f>
        <v>Brazil</v>
      </c>
    </row>
    <row r="53" spans="1:11" x14ac:dyDescent="0.25">
      <c r="A53" s="164">
        <v>46197</v>
      </c>
      <c r="B53" s="162">
        <v>0.83333333333333337</v>
      </c>
      <c r="C53" s="162"/>
      <c r="D53" s="34" t="s">
        <v>16</v>
      </c>
      <c r="E53" s="31" t="s">
        <v>18</v>
      </c>
      <c r="F53" s="31" t="s">
        <v>19</v>
      </c>
      <c r="G53" s="1" t="str" cm="1">
        <f t="array" ref="G53">_xlfn.IFS(Predictions!F55=1,$E53,Predictions!F55="X","Draw",Predictions!F55=2,$F53)</f>
        <v>Morocco</v>
      </c>
      <c r="H53" s="1" t="str" cm="1">
        <f t="array" ref="H53">_xlfn.IFS(Predictions!H55=1,$E53,Predictions!H55="X","Draw",Predictions!H55=2,$F53)</f>
        <v>Morocco</v>
      </c>
      <c r="I53" s="1" t="str" cm="1">
        <f t="array" ref="I53">_xlfn.IFS(Predictions!J55=1,$E53,Predictions!J55="X","Draw",Predictions!J55=2,$F53)</f>
        <v>Morocco</v>
      </c>
      <c r="J53" s="1" t="str" cm="1">
        <f t="array" ref="J53">_xlfn.IFS(Predictions!L55=1,$E53,Predictions!L55="X","Draw",Predictions!L55=2,$F53)</f>
        <v>Morocco</v>
      </c>
      <c r="K53" s="1" t="str" cm="1">
        <f t="array" ref="K53">_xlfn.IFS(Predictions!N55=1,$E53,Predictions!N55="X","Draw",Predictions!N55=2,$F53)</f>
        <v>Morocco</v>
      </c>
    </row>
    <row r="54" spans="1:11" x14ac:dyDescent="0.25">
      <c r="A54" s="164">
        <v>46198</v>
      </c>
      <c r="B54" s="163">
        <v>0.83333333333333337</v>
      </c>
      <c r="C54" s="163"/>
      <c r="D54" s="27" t="s">
        <v>6</v>
      </c>
      <c r="E54" s="28" t="s">
        <v>10</v>
      </c>
      <c r="F54" s="28" t="s">
        <v>7</v>
      </c>
      <c r="G54" s="1" t="str" cm="1">
        <f t="array" ref="G54">_xlfn.IFS(Predictions!F56=1,$E54,Predictions!F56="X","Draw",Predictions!F56=2,$F54)</f>
        <v>Mexico</v>
      </c>
      <c r="H54" s="1" t="str" cm="1">
        <f t="array" ref="H54">_xlfn.IFS(Predictions!H56=1,$E54,Predictions!H56="X","Draw",Predictions!H56=2,$F54)</f>
        <v>Draw</v>
      </c>
      <c r="I54" s="1" t="str" cm="1">
        <f t="array" ref="I54">_xlfn.IFS(Predictions!J56=1,$E54,Predictions!J56="X","Draw",Predictions!J56=2,$F54)</f>
        <v>Draw</v>
      </c>
      <c r="J54" s="1" t="str" cm="1">
        <f t="array" ref="J54">_xlfn.IFS(Predictions!L56=1,$E54,Predictions!L56="X","Draw",Predictions!L56=2,$F54)</f>
        <v>Mexico</v>
      </c>
      <c r="K54" s="1" t="str" cm="1">
        <f t="array" ref="K54">_xlfn.IFS(Predictions!N56=1,$E54,Predictions!N56="X","Draw",Predictions!N56=2,$F54)</f>
        <v>Mexico</v>
      </c>
    </row>
    <row r="55" spans="1:11" x14ac:dyDescent="0.25">
      <c r="A55" s="164">
        <v>46198</v>
      </c>
      <c r="B55" s="163">
        <v>0.83333333333333337</v>
      </c>
      <c r="C55" s="163"/>
      <c r="D55" s="27" t="s">
        <v>6</v>
      </c>
      <c r="E55" s="28" t="s">
        <v>8</v>
      </c>
      <c r="F55" s="28" t="s">
        <v>9</v>
      </c>
      <c r="G55" s="1" t="str" cm="1">
        <f t="array" ref="G55">_xlfn.IFS(Predictions!F57=1,$E55,Predictions!F57="X","Draw",Predictions!F57=2,$F55)</f>
        <v>South Korea</v>
      </c>
      <c r="H55" s="1" t="str" cm="1">
        <f t="array" ref="H55">_xlfn.IFS(Predictions!H57=1,$E55,Predictions!H57="X","Draw",Predictions!H57=2,$F55)</f>
        <v>South Korea</v>
      </c>
      <c r="I55" s="1" t="str" cm="1">
        <f t="array" ref="I55">_xlfn.IFS(Predictions!J57=1,$E55,Predictions!J57="X","Draw",Predictions!J57=2,$F55)</f>
        <v>South Korea</v>
      </c>
      <c r="J55" s="1" t="str" cm="1">
        <f t="array" ref="J55">_xlfn.IFS(Predictions!L57=1,$E55,Predictions!L57="X","Draw",Predictions!L57=2,$F55)</f>
        <v>South Korea</v>
      </c>
      <c r="K55" s="1" t="str" cm="1">
        <f t="array" ref="K55">_xlfn.IFS(Predictions!N57=1,$E55,Predictions!N57="X","Draw",Predictions!N57=2,$F55)</f>
        <v>South Korea</v>
      </c>
    </row>
    <row r="56" spans="1:11" x14ac:dyDescent="0.25">
      <c r="A56" s="164">
        <v>46198</v>
      </c>
      <c r="B56" s="163">
        <v>0.83333333333333337</v>
      </c>
      <c r="C56" s="163"/>
      <c r="D56" s="36" t="s">
        <v>26</v>
      </c>
      <c r="E56" s="28" t="s">
        <v>30</v>
      </c>
      <c r="F56" s="28" t="s">
        <v>27</v>
      </c>
      <c r="G56" s="1" t="str" cm="1">
        <f t="array" ref="G56">_xlfn.IFS(Predictions!F58=1,$E56,Predictions!F58="X","Draw",Predictions!F58=2,$F56)</f>
        <v>Germany</v>
      </c>
      <c r="H56" s="1" t="str" cm="1">
        <f t="array" ref="H56">_xlfn.IFS(Predictions!H58=1,$E56,Predictions!H58="X","Draw",Predictions!H58=2,$F56)</f>
        <v>Draw</v>
      </c>
      <c r="I56" s="1" t="str" cm="1">
        <f t="array" ref="I56">_xlfn.IFS(Predictions!J58=1,$E56,Predictions!J58="X","Draw",Predictions!J58=2,$F56)</f>
        <v>Germany</v>
      </c>
      <c r="J56" s="1" t="str" cm="1">
        <f t="array" ref="J56">_xlfn.IFS(Predictions!L58=1,$E56,Predictions!L58="X","Draw",Predictions!L58=2,$F56)</f>
        <v>Germany</v>
      </c>
      <c r="K56" s="1" t="str" cm="1">
        <f t="array" ref="K56">_xlfn.IFS(Predictions!N58=1,$E56,Predictions!N58="X","Draw",Predictions!N58=2,$F56)</f>
        <v>Germany</v>
      </c>
    </row>
    <row r="57" spans="1:11" x14ac:dyDescent="0.25">
      <c r="A57" s="164">
        <v>46198</v>
      </c>
      <c r="B57" s="162">
        <v>0.83333333333333337</v>
      </c>
      <c r="C57" s="162"/>
      <c r="D57" s="50" t="s">
        <v>26</v>
      </c>
      <c r="E57" s="31" t="s">
        <v>28</v>
      </c>
      <c r="F57" s="31" t="s">
        <v>29</v>
      </c>
      <c r="G57" s="1" t="str" cm="1">
        <f t="array" ref="G57">_xlfn.IFS(Predictions!F59=1,$E57,Predictions!F59="X","Draw",Predictions!F59=2,$F57)</f>
        <v>Côte d'Ivoire</v>
      </c>
      <c r="H57" s="1" t="str" cm="1">
        <f t="array" ref="H57">_xlfn.IFS(Predictions!H59=1,$E57,Predictions!H59="X","Draw",Predictions!H59=2,$F57)</f>
        <v>Côte d'Ivoire</v>
      </c>
      <c r="I57" s="1" t="str" cm="1">
        <f t="array" ref="I57">_xlfn.IFS(Predictions!J59=1,$E57,Predictions!J59="X","Draw",Predictions!J59=2,$F57)</f>
        <v>Côte d'Ivoire</v>
      </c>
      <c r="J57" s="1" t="str" cm="1">
        <f t="array" ref="J57">_xlfn.IFS(Predictions!L59=1,$E57,Predictions!L59="X","Draw",Predictions!L59=2,$F57)</f>
        <v>Côte d'Ivoire</v>
      </c>
      <c r="K57" s="1" t="str" cm="1">
        <f t="array" ref="K57">_xlfn.IFS(Predictions!N59=1,$E57,Predictions!N59="X","Draw",Predictions!N59=2,$F57)</f>
        <v>Côte d'Ivoire</v>
      </c>
    </row>
    <row r="58" spans="1:11" x14ac:dyDescent="0.25">
      <c r="A58" s="164">
        <v>46199</v>
      </c>
      <c r="B58" s="163">
        <v>0.83333333333333337</v>
      </c>
      <c r="C58" s="163"/>
      <c r="D58" s="32" t="s">
        <v>21</v>
      </c>
      <c r="E58" s="28" t="s">
        <v>25</v>
      </c>
      <c r="F58" s="28" t="s">
        <v>22</v>
      </c>
      <c r="G58" s="1" t="str" cm="1">
        <f t="array" ref="G58">_xlfn.IFS(Predictions!F60=1,$E58,Predictions!F60="X","Draw",Predictions!F60=2,$F58)</f>
        <v>Draw</v>
      </c>
      <c r="H58" s="1" t="str" cm="1">
        <f t="array" ref="H58">_xlfn.IFS(Predictions!H60=1,$E58,Predictions!H60="X","Draw",Predictions!H60=2,$F58)</f>
        <v>Türkiye</v>
      </c>
      <c r="I58" s="1" t="str" cm="1">
        <f t="array" ref="I58">_xlfn.IFS(Predictions!J60=1,$E58,Predictions!J60="X","Draw",Predictions!J60=2,$F58)</f>
        <v>Draw</v>
      </c>
      <c r="J58" s="1" t="str" cm="1">
        <f t="array" ref="J58">_xlfn.IFS(Predictions!L60=1,$E58,Predictions!L60="X","Draw",Predictions!L60=2,$F58)</f>
        <v>Türkiye</v>
      </c>
      <c r="K58" s="1" t="str" cm="1">
        <f t="array" ref="K58">_xlfn.IFS(Predictions!N60=1,$E58,Predictions!N60="X","Draw",Predictions!N60=2,$F58)</f>
        <v>Türkiye</v>
      </c>
    </row>
    <row r="59" spans="1:11" x14ac:dyDescent="0.25">
      <c r="A59" s="164">
        <v>46199</v>
      </c>
      <c r="B59" s="163">
        <v>0.83333333333333337</v>
      </c>
      <c r="C59" s="163"/>
      <c r="D59" s="32" t="s">
        <v>21</v>
      </c>
      <c r="E59" s="28" t="s">
        <v>23</v>
      </c>
      <c r="F59" s="28" t="s">
        <v>24</v>
      </c>
      <c r="G59" s="1" t="str" cm="1">
        <f t="array" ref="G59">_xlfn.IFS(Predictions!F61=1,$E59,Predictions!F61="X","Draw",Predictions!F61=2,$F59)</f>
        <v>Australia</v>
      </c>
      <c r="H59" s="1" t="str" cm="1">
        <f t="array" ref="H59">_xlfn.IFS(Predictions!H61=1,$E59,Predictions!H61="X","Draw",Predictions!H61=2,$F59)</f>
        <v>Draw</v>
      </c>
      <c r="I59" s="1" t="str" cm="1">
        <f t="array" ref="I59">_xlfn.IFS(Predictions!J61=1,$E59,Predictions!J61="X","Draw",Predictions!J61=2,$F59)</f>
        <v>Draw</v>
      </c>
      <c r="J59" s="1" t="str" cm="1">
        <f t="array" ref="J59">_xlfn.IFS(Predictions!L61=1,$E59,Predictions!L61="X","Draw",Predictions!L61=2,$F59)</f>
        <v>Draw</v>
      </c>
      <c r="K59" s="1" t="str" cm="1">
        <f t="array" ref="K59">_xlfn.IFS(Predictions!N61=1,$E59,Predictions!N61="X","Draw",Predictions!N61=2,$F59)</f>
        <v>Draw</v>
      </c>
    </row>
    <row r="60" spans="1:11" x14ac:dyDescent="0.25">
      <c r="A60" s="164">
        <v>46199</v>
      </c>
      <c r="B60" s="163">
        <v>0.83333333333333337</v>
      </c>
      <c r="C60" s="163"/>
      <c r="D60" s="38" t="s">
        <v>31</v>
      </c>
      <c r="E60" s="28" t="s">
        <v>35</v>
      </c>
      <c r="F60" s="28" t="s">
        <v>32</v>
      </c>
      <c r="G60" s="1" t="str" cm="1">
        <f t="array" ref="G60">_xlfn.IFS(Predictions!F62=1,$E60,Predictions!F62="X","Draw",Predictions!F62=2,$F60)</f>
        <v>Netherlands</v>
      </c>
      <c r="H60" s="1" t="str" cm="1">
        <f t="array" ref="H60">_xlfn.IFS(Predictions!H62=1,$E60,Predictions!H62="X","Draw",Predictions!H62=2,$F60)</f>
        <v>Netherlands</v>
      </c>
      <c r="I60" s="1" t="str" cm="1">
        <f t="array" ref="I60">_xlfn.IFS(Predictions!J62=1,$E60,Predictions!J62="X","Draw",Predictions!J62=2,$F60)</f>
        <v>Netherlands</v>
      </c>
      <c r="J60" s="1" t="str" cm="1">
        <f t="array" ref="J60">_xlfn.IFS(Predictions!L62=1,$E60,Predictions!L62="X","Draw",Predictions!L62=2,$F60)</f>
        <v>Netherlands</v>
      </c>
      <c r="K60" s="1" t="str" cm="1">
        <f t="array" ref="K60">_xlfn.IFS(Predictions!N62=1,$E60,Predictions!N62="X","Draw",Predictions!N62=2,$F60)</f>
        <v>Netherlands</v>
      </c>
    </row>
    <row r="61" spans="1:11" x14ac:dyDescent="0.25">
      <c r="A61" s="164">
        <v>46199</v>
      </c>
      <c r="B61" s="163">
        <v>0.83333333333333337</v>
      </c>
      <c r="C61" s="163"/>
      <c r="D61" s="38" t="s">
        <v>31</v>
      </c>
      <c r="E61" s="28" t="s">
        <v>33</v>
      </c>
      <c r="F61" s="28" t="s">
        <v>34</v>
      </c>
      <c r="G61" s="1" t="str" cm="1">
        <f t="array" ref="G61">_xlfn.IFS(Predictions!F63=1,$E61,Predictions!F63="X","Draw",Predictions!F63=2,$F61)</f>
        <v>Draw</v>
      </c>
      <c r="H61" s="1" t="str" cm="1">
        <f t="array" ref="H61">_xlfn.IFS(Predictions!H63=1,$E61,Predictions!H63="X","Draw",Predictions!H63=2,$F61)</f>
        <v>Japan</v>
      </c>
      <c r="I61" s="1" t="str" cm="1">
        <f t="array" ref="I61">_xlfn.IFS(Predictions!J63=1,$E61,Predictions!J63="X","Draw",Predictions!J63=2,$F61)</f>
        <v>Japan</v>
      </c>
      <c r="J61" s="1" t="str" cm="1">
        <f t="array" ref="J61">_xlfn.IFS(Predictions!L63=1,$E61,Predictions!L63="X","Draw",Predictions!L63=2,$F61)</f>
        <v>Japan</v>
      </c>
      <c r="K61" s="1" t="str" cm="1">
        <f t="array" ref="K61">_xlfn.IFS(Predictions!N63=1,$E61,Predictions!N63="X","Draw",Predictions!N63=2,$F61)</f>
        <v>Japan</v>
      </c>
    </row>
    <row r="62" spans="1:11" x14ac:dyDescent="0.25">
      <c r="A62" s="164">
        <v>46199</v>
      </c>
      <c r="B62" s="163">
        <v>0.83333333333333337</v>
      </c>
      <c r="C62" s="163"/>
      <c r="D62" s="42" t="s">
        <v>46</v>
      </c>
      <c r="E62" s="28" t="s">
        <v>50</v>
      </c>
      <c r="F62" s="28" t="s">
        <v>47</v>
      </c>
      <c r="G62" s="1" t="str" cm="1">
        <f t="array" ref="G62">_xlfn.IFS(Predictions!F64=1,$E62,Predictions!F64="X","Draw",Predictions!F64=2,$F62)</f>
        <v>France</v>
      </c>
      <c r="H62" s="1" t="str" cm="1">
        <f t="array" ref="H62">_xlfn.IFS(Predictions!H64=1,$E62,Predictions!H64="X","Draw",Predictions!H64=2,$F62)</f>
        <v>Draw</v>
      </c>
      <c r="I62" s="1" t="str" cm="1">
        <f t="array" ref="I62">_xlfn.IFS(Predictions!J64=1,$E62,Predictions!J64="X","Draw",Predictions!J64=2,$F62)</f>
        <v>France</v>
      </c>
      <c r="J62" s="1" t="str" cm="1">
        <f t="array" ref="J62">_xlfn.IFS(Predictions!L64=1,$E62,Predictions!L64="X","Draw",Predictions!L64=2,$F62)</f>
        <v>France</v>
      </c>
      <c r="K62" s="1" t="str" cm="1">
        <f t="array" ref="K62">_xlfn.IFS(Predictions!N64=1,$E62,Predictions!N64="X","Draw",Predictions!N64=2,$F62)</f>
        <v>France</v>
      </c>
    </row>
    <row r="63" spans="1:11" x14ac:dyDescent="0.25">
      <c r="A63" s="164">
        <v>46199</v>
      </c>
      <c r="B63" s="162">
        <v>0.83333333333333337</v>
      </c>
      <c r="C63" s="162"/>
      <c r="D63" s="43" t="s">
        <v>46</v>
      </c>
      <c r="E63" s="31" t="s">
        <v>48</v>
      </c>
      <c r="F63" s="31" t="s">
        <v>49</v>
      </c>
      <c r="G63" s="1" t="str" cm="1">
        <f t="array" ref="G63">_xlfn.IFS(Predictions!F65=1,$E63,Predictions!F65="X","Draw",Predictions!F65=2,$F63)</f>
        <v>Senegal</v>
      </c>
      <c r="H63" s="1" t="str" cm="1">
        <f t="array" ref="H63">_xlfn.IFS(Predictions!H65=1,$E63,Predictions!H65="X","Draw",Predictions!H65=2,$F63)</f>
        <v>Senegal</v>
      </c>
      <c r="I63" s="1" t="str" cm="1">
        <f t="array" ref="I63">_xlfn.IFS(Predictions!J65=1,$E63,Predictions!J65="X","Draw",Predictions!J65=2,$F63)</f>
        <v>Senegal</v>
      </c>
      <c r="J63" s="1" t="str" cm="1">
        <f t="array" ref="J63">_xlfn.IFS(Predictions!L65=1,$E63,Predictions!L65="X","Draw",Predictions!L65=2,$F63)</f>
        <v>Senegal</v>
      </c>
      <c r="K63" s="1" t="str" cm="1">
        <f t="array" ref="K63">_xlfn.IFS(Predictions!N65=1,$E63,Predictions!N65="X","Draw",Predictions!N65=2,$F63)</f>
        <v>Senegal</v>
      </c>
    </row>
    <row r="64" spans="1:11" x14ac:dyDescent="0.25">
      <c r="A64" s="164">
        <v>46200</v>
      </c>
      <c r="B64" s="163">
        <v>0.83333333333333337</v>
      </c>
      <c r="C64" s="163"/>
      <c r="D64" s="39" t="s">
        <v>36</v>
      </c>
      <c r="E64" s="28" t="s">
        <v>40</v>
      </c>
      <c r="F64" s="28" t="s">
        <v>37</v>
      </c>
      <c r="G64" s="1" t="str" cm="1">
        <f t="array" ref="G64">_xlfn.IFS(Predictions!F66=1,$E64,Predictions!F66="X","Draw",Predictions!F66=2,$F64)</f>
        <v>Belgium</v>
      </c>
      <c r="H64" s="1" t="str" cm="1">
        <f t="array" ref="H64">_xlfn.IFS(Predictions!H66=1,$E64,Predictions!H66="X","Draw",Predictions!H66=2,$F64)</f>
        <v>Belgium</v>
      </c>
      <c r="I64" s="1" t="str" cm="1">
        <f t="array" ref="I64">_xlfn.IFS(Predictions!J66=1,$E64,Predictions!J66="X","Draw",Predictions!J66=2,$F64)</f>
        <v>Belgium</v>
      </c>
      <c r="J64" s="1" t="str" cm="1">
        <f t="array" ref="J64">_xlfn.IFS(Predictions!L66=1,$E64,Predictions!L66="X","Draw",Predictions!L66=2,$F64)</f>
        <v>Belgium</v>
      </c>
      <c r="K64" s="1" t="str" cm="1">
        <f t="array" ref="K64">_xlfn.IFS(Predictions!N66=1,$E64,Predictions!N66="X","Draw",Predictions!N66=2,$F64)</f>
        <v>Belgium</v>
      </c>
    </row>
    <row r="65" spans="1:11" x14ac:dyDescent="0.25">
      <c r="A65" s="164">
        <v>46200</v>
      </c>
      <c r="B65" s="163">
        <v>0.83333333333333337</v>
      </c>
      <c r="C65" s="163"/>
      <c r="D65" s="39" t="s">
        <v>36</v>
      </c>
      <c r="E65" s="28" t="s">
        <v>38</v>
      </c>
      <c r="F65" s="28" t="s">
        <v>39</v>
      </c>
      <c r="G65" s="1" t="str" cm="1">
        <f t="array" ref="G65">_xlfn.IFS(Predictions!F67=1,$E65,Predictions!F67="X","Draw",Predictions!F67=2,$F65)</f>
        <v>Draw</v>
      </c>
      <c r="H65" s="1" t="str" cm="1">
        <f t="array" ref="H65">_xlfn.IFS(Predictions!H67=1,$E65,Predictions!H67="X","Draw",Predictions!H67=2,$F65)</f>
        <v>Draw</v>
      </c>
      <c r="I65" s="1" t="str" cm="1">
        <f t="array" ref="I65">_xlfn.IFS(Predictions!J67=1,$E65,Predictions!J67="X","Draw",Predictions!J67=2,$F65)</f>
        <v>Draw</v>
      </c>
      <c r="J65" s="1" t="str" cm="1">
        <f t="array" ref="J65">_xlfn.IFS(Predictions!L67=1,$E65,Predictions!L67="X","Draw",Predictions!L67=2,$F65)</f>
        <v>Draw</v>
      </c>
      <c r="K65" s="1" t="str" cm="1">
        <f t="array" ref="K65">_xlfn.IFS(Predictions!N67=1,$E65,Predictions!N67="X","Draw",Predictions!N67=2,$F65)</f>
        <v>IR Iran</v>
      </c>
    </row>
    <row r="66" spans="1:11" x14ac:dyDescent="0.25">
      <c r="A66" s="164">
        <v>46200</v>
      </c>
      <c r="B66" s="163">
        <v>0.83333333333333337</v>
      </c>
      <c r="C66" s="163"/>
      <c r="D66" s="40" t="s">
        <v>41</v>
      </c>
      <c r="E66" s="28" t="s">
        <v>45</v>
      </c>
      <c r="F66" s="28" t="s">
        <v>42</v>
      </c>
      <c r="G66" s="1" t="str" cm="1">
        <f t="array" ref="G66">_xlfn.IFS(Predictions!F68=1,$E66,Predictions!F68="X","Draw",Predictions!F68=2,$F66)</f>
        <v>Spain</v>
      </c>
      <c r="H66" s="1" t="str" cm="1">
        <f t="array" ref="H66">_xlfn.IFS(Predictions!H68=1,$E66,Predictions!H68="X","Draw",Predictions!H68=2,$F66)</f>
        <v>Spain</v>
      </c>
      <c r="I66" s="1" t="str" cm="1">
        <f t="array" ref="I66">_xlfn.IFS(Predictions!J68=1,$E66,Predictions!J68="X","Draw",Predictions!J68=2,$F66)</f>
        <v>Spain</v>
      </c>
      <c r="J66" s="1" t="str" cm="1">
        <f t="array" ref="J66">_xlfn.IFS(Predictions!L68=1,$E66,Predictions!L68="X","Draw",Predictions!L68=2,$F66)</f>
        <v>Spain</v>
      </c>
      <c r="K66" s="1" t="str" cm="1">
        <f t="array" ref="K66">_xlfn.IFS(Predictions!N68=1,$E66,Predictions!N68="X","Draw",Predictions!N68=2,$F66)</f>
        <v>Spain</v>
      </c>
    </row>
    <row r="67" spans="1:11" x14ac:dyDescent="0.25">
      <c r="A67" s="164">
        <v>46200</v>
      </c>
      <c r="B67" s="163">
        <v>0.83333333333333337</v>
      </c>
      <c r="C67" s="163"/>
      <c r="D67" s="40" t="s">
        <v>41</v>
      </c>
      <c r="E67" s="28" t="s">
        <v>43</v>
      </c>
      <c r="F67" s="28" t="s">
        <v>44</v>
      </c>
      <c r="G67" s="1" t="str" cm="1">
        <f t="array" ref="G67">_xlfn.IFS(Predictions!F69=1,$E67,Predictions!F69="X","Draw",Predictions!F69=2,$F67)</f>
        <v>Saudi Arabia</v>
      </c>
      <c r="H67" s="1" t="str" cm="1">
        <f t="array" ref="H67">_xlfn.IFS(Predictions!H69=1,$E67,Predictions!H69="X","Draw",Predictions!H69=2,$F67)</f>
        <v>Saudi Arabia</v>
      </c>
      <c r="I67" s="1" t="str" cm="1">
        <f t="array" ref="I67">_xlfn.IFS(Predictions!J69=1,$E67,Predictions!J69="X","Draw",Predictions!J69=2,$F67)</f>
        <v>Draw</v>
      </c>
      <c r="J67" s="1" t="str" cm="1">
        <f t="array" ref="J67">_xlfn.IFS(Predictions!L69=1,$E67,Predictions!L69="X","Draw",Predictions!L69=2,$F67)</f>
        <v>Saudi Arabia</v>
      </c>
      <c r="K67" s="1" t="str" cm="1">
        <f t="array" ref="K67">_xlfn.IFS(Predictions!N69=1,$E67,Predictions!N69="X","Draw",Predictions!N69=2,$F67)</f>
        <v>Saudi Arabia</v>
      </c>
    </row>
    <row r="68" spans="1:11" x14ac:dyDescent="0.25">
      <c r="A68" s="164">
        <v>46200</v>
      </c>
      <c r="B68" s="163">
        <v>0.83333333333333337</v>
      </c>
      <c r="C68" s="163"/>
      <c r="D68" s="47" t="s">
        <v>61</v>
      </c>
      <c r="E68" s="28" t="s">
        <v>65</v>
      </c>
      <c r="F68" s="28" t="s">
        <v>62</v>
      </c>
      <c r="G68" s="1" t="str" cm="1">
        <f t="array" ref="G68">_xlfn.IFS(Predictions!F70=1,$E68,Predictions!F70="X","Draw",Predictions!F70=2,$F68)</f>
        <v>England</v>
      </c>
      <c r="H68" s="1" t="str" cm="1">
        <f t="array" ref="H68">_xlfn.IFS(Predictions!H70=1,$E68,Predictions!H70="X","Draw",Predictions!H70=2,$F68)</f>
        <v>England</v>
      </c>
      <c r="I68" s="1" t="str" cm="1">
        <f t="array" ref="I68">_xlfn.IFS(Predictions!J70=1,$E68,Predictions!J70="X","Draw",Predictions!J70=2,$F68)</f>
        <v>England</v>
      </c>
      <c r="J68" s="1" t="str" cm="1">
        <f t="array" ref="J68">_xlfn.IFS(Predictions!L70=1,$E68,Predictions!L70="X","Draw",Predictions!L70=2,$F68)</f>
        <v>England</v>
      </c>
      <c r="K68" s="1" t="str" cm="1">
        <f t="array" ref="K68">_xlfn.IFS(Predictions!N70=1,$E68,Predictions!N70="X","Draw",Predictions!N70=2,$F68)</f>
        <v>England</v>
      </c>
    </row>
    <row r="69" spans="1:11" x14ac:dyDescent="0.25">
      <c r="A69" s="164">
        <v>46200</v>
      </c>
      <c r="B69" s="162">
        <v>0.83333333333333337</v>
      </c>
      <c r="C69" s="162"/>
      <c r="D69" s="46" t="s">
        <v>61</v>
      </c>
      <c r="E69" s="31" t="s">
        <v>63</v>
      </c>
      <c r="F69" s="31" t="s">
        <v>64</v>
      </c>
      <c r="G69" s="1" t="str" cm="1">
        <f t="array" ref="G69">_xlfn.IFS(Predictions!F71=1,$E69,Predictions!F71="X","Draw",Predictions!F71=2,$F69)</f>
        <v>Croatia</v>
      </c>
      <c r="H69" s="1" t="str" cm="1">
        <f t="array" ref="H69">_xlfn.IFS(Predictions!H71=1,$E69,Predictions!H71="X","Draw",Predictions!H71=2,$F69)</f>
        <v>Croatia</v>
      </c>
      <c r="I69" s="1" t="str" cm="1">
        <f t="array" ref="I69">_xlfn.IFS(Predictions!J71=1,$E69,Predictions!J71="X","Draw",Predictions!J71=2,$F69)</f>
        <v>Draw</v>
      </c>
      <c r="J69" s="1" t="str" cm="1">
        <f t="array" ref="J69">_xlfn.IFS(Predictions!L71=1,$E69,Predictions!L71="X","Draw",Predictions!L71=2,$F69)</f>
        <v>Croatia</v>
      </c>
      <c r="K69" s="1" t="str" cm="1">
        <f t="array" ref="K69">_xlfn.IFS(Predictions!N71=1,$E69,Predictions!N71="X","Draw",Predictions!N71=2,$F69)</f>
        <v>Draw</v>
      </c>
    </row>
    <row r="70" spans="1:11" x14ac:dyDescent="0.25">
      <c r="A70" s="164">
        <v>46201</v>
      </c>
      <c r="B70" s="163">
        <v>0.83333333333333337</v>
      </c>
      <c r="C70" s="163"/>
      <c r="D70" s="44" t="s">
        <v>51</v>
      </c>
      <c r="E70" s="28" t="s">
        <v>55</v>
      </c>
      <c r="F70" s="28" t="s">
        <v>52</v>
      </c>
      <c r="G70" s="1" t="str" cm="1">
        <f t="array" ref="G70">_xlfn.IFS(Predictions!F72=1,$E70,Predictions!F72="X","Draw",Predictions!F72=2,$F70)</f>
        <v>Argentina</v>
      </c>
      <c r="H70" s="1" t="str" cm="1">
        <f t="array" ref="H70">_xlfn.IFS(Predictions!H72=1,$E70,Predictions!H72="X","Draw",Predictions!H72=2,$F70)</f>
        <v>Argentina</v>
      </c>
      <c r="I70" s="1" t="str" cm="1">
        <f t="array" ref="I70">_xlfn.IFS(Predictions!J72=1,$E70,Predictions!J72="X","Draw",Predictions!J72=2,$F70)</f>
        <v>Argentina</v>
      </c>
      <c r="J70" s="1" t="str" cm="1">
        <f t="array" ref="J70">_xlfn.IFS(Predictions!L72=1,$E70,Predictions!L72="X","Draw",Predictions!L72=2,$F70)</f>
        <v>Argentina</v>
      </c>
      <c r="K70" s="1" t="str" cm="1">
        <f t="array" ref="K70">_xlfn.IFS(Predictions!N72=1,$E70,Predictions!N72="X","Draw",Predictions!N72=2,$F70)</f>
        <v>Argentina</v>
      </c>
    </row>
    <row r="71" spans="1:11" x14ac:dyDescent="0.25">
      <c r="A71" s="164">
        <v>46201</v>
      </c>
      <c r="B71" s="163">
        <v>0.83333333333333337</v>
      </c>
      <c r="C71" s="163"/>
      <c r="D71" s="44" t="s">
        <v>51</v>
      </c>
      <c r="E71" s="28" t="s">
        <v>53</v>
      </c>
      <c r="F71" s="28" t="s">
        <v>54</v>
      </c>
      <c r="G71" s="1" t="str" cm="1">
        <f t="array" ref="G71">_xlfn.IFS(Predictions!F73=1,$E71,Predictions!F73="X","Draw",Predictions!F73=2,$F71)</f>
        <v>Draw</v>
      </c>
      <c r="H71" s="1" t="str" cm="1">
        <f t="array" ref="H71">_xlfn.IFS(Predictions!H73=1,$E71,Predictions!H73="X","Draw",Predictions!H73=2,$F71)</f>
        <v>Algeria</v>
      </c>
      <c r="I71" s="1" t="str" cm="1">
        <f t="array" ref="I71">_xlfn.IFS(Predictions!J73=1,$E71,Predictions!J73="X","Draw",Predictions!J73=2,$F71)</f>
        <v>Algeria</v>
      </c>
      <c r="J71" s="1" t="str" cm="1">
        <f t="array" ref="J71">_xlfn.IFS(Predictions!L73=1,$E71,Predictions!L73="X","Draw",Predictions!L73=2,$F71)</f>
        <v>Draw</v>
      </c>
      <c r="K71" s="1" t="str" cm="1">
        <f t="array" ref="K71">_xlfn.IFS(Predictions!N73=1,$E71,Predictions!N73="X","Draw",Predictions!N73=2,$F71)</f>
        <v>Austria</v>
      </c>
    </row>
    <row r="72" spans="1:11" x14ac:dyDescent="0.25">
      <c r="A72" s="164">
        <v>46201</v>
      </c>
      <c r="B72" s="163">
        <v>0.83333333333333337</v>
      </c>
      <c r="C72" s="163"/>
      <c r="D72" s="45" t="s">
        <v>56</v>
      </c>
      <c r="E72" s="28" t="s">
        <v>60</v>
      </c>
      <c r="F72" s="28" t="s">
        <v>57</v>
      </c>
      <c r="G72" s="1" t="str" cm="1">
        <f t="array" ref="G72">_xlfn.IFS(Predictions!F74=1,$E72,Predictions!F74="X","Draw",Predictions!F74=2,$F72)</f>
        <v>Portugal</v>
      </c>
      <c r="H72" s="1" t="str" cm="1">
        <f t="array" ref="H72">_xlfn.IFS(Predictions!H74=1,$E72,Predictions!H74="X","Draw",Predictions!H74=2,$F72)</f>
        <v>Draw</v>
      </c>
      <c r="I72" s="1" t="str" cm="1">
        <f t="array" ref="I72">_xlfn.IFS(Predictions!J74=1,$E72,Predictions!J74="X","Draw",Predictions!J74=2,$F72)</f>
        <v>Portugal</v>
      </c>
      <c r="J72" s="1" t="str" cm="1">
        <f t="array" ref="J72">_xlfn.IFS(Predictions!L74=1,$E72,Predictions!L74="X","Draw",Predictions!L74=2,$F72)</f>
        <v>Portugal</v>
      </c>
      <c r="K72" s="1" t="str" cm="1">
        <f t="array" ref="K72">_xlfn.IFS(Predictions!N74=1,$E72,Predictions!N74="X","Draw",Predictions!N74=2,$F72)</f>
        <v>Portugal</v>
      </c>
    </row>
    <row r="73" spans="1:11" x14ac:dyDescent="0.25">
      <c r="A73" s="164">
        <v>46201</v>
      </c>
      <c r="B73" s="162">
        <v>0.83333333333333337</v>
      </c>
      <c r="C73" s="162"/>
      <c r="D73" s="51" t="s">
        <v>56</v>
      </c>
      <c r="E73" s="31" t="s">
        <v>58</v>
      </c>
      <c r="F73" s="31" t="s">
        <v>59</v>
      </c>
      <c r="G73" s="1" t="str" cm="1">
        <f t="array" ref="G73">_xlfn.IFS(Predictions!F75=1,$E73,Predictions!F75="X","Draw",Predictions!F75=2,$F73)</f>
        <v>Congo DR</v>
      </c>
      <c r="H73" s="1" t="str" cm="1">
        <f t="array" ref="H73">_xlfn.IFS(Predictions!H75=1,$E73,Predictions!H75="X","Draw",Predictions!H75=2,$F73)</f>
        <v>Congo DR</v>
      </c>
      <c r="I73" s="1" t="str" cm="1">
        <f t="array" ref="I73">_xlfn.IFS(Predictions!J75=1,$E73,Predictions!J75="X","Draw",Predictions!J75=2,$F73)</f>
        <v>Draw</v>
      </c>
      <c r="J73" s="1" t="str" cm="1">
        <f t="array" ref="J73">_xlfn.IFS(Predictions!L75=1,$E73,Predictions!L75="X","Draw",Predictions!L75=2,$F73)</f>
        <v>Congo DR</v>
      </c>
      <c r="K73" s="1" t="str" cm="1">
        <f t="array" ref="K73">_xlfn.IFS(Predictions!N75=1,$E73,Predictions!N75="X","Draw",Predictions!N75=2,$F73)</f>
        <v>Congo DR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B7E0-693E-4CFA-BC00-AADF9CE297D2}">
  <dimension ref="B1:I72"/>
  <sheetViews>
    <sheetView zoomScale="85" zoomScaleNormal="85" workbookViewId="0">
      <selection activeCell="K12" sqref="K12"/>
    </sheetView>
  </sheetViews>
  <sheetFormatPr defaultRowHeight="15" x14ac:dyDescent="0.25"/>
  <cols>
    <col min="2" max="2" width="2.42578125" bestFit="1" customWidth="1"/>
    <col min="3" max="4" width="22.5703125" bestFit="1" customWidth="1"/>
    <col min="7" max="7" width="2.42578125" bestFit="1" customWidth="1"/>
    <col min="8" max="8" width="4.28515625" bestFit="1" customWidth="1"/>
    <col min="9" max="9" width="20.28515625" bestFit="1" customWidth="1"/>
  </cols>
  <sheetData>
    <row r="1" spans="2:9" x14ac:dyDescent="0.25">
      <c r="B1" s="62" t="s">
        <v>6</v>
      </c>
      <c r="C1" s="31" t="s">
        <v>7</v>
      </c>
      <c r="D1" s="31" t="s">
        <v>8</v>
      </c>
      <c r="E1" s="133">
        <v>1</v>
      </c>
      <c r="G1" s="68" t="s">
        <v>6</v>
      </c>
      <c r="H1" t="s">
        <v>70</v>
      </c>
      <c r="I1" s="131" t="s">
        <v>7</v>
      </c>
    </row>
    <row r="2" spans="2:9" x14ac:dyDescent="0.25">
      <c r="B2" s="27" t="s">
        <v>6</v>
      </c>
      <c r="C2" s="28" t="s">
        <v>9</v>
      </c>
      <c r="D2" s="28" t="s">
        <v>10</v>
      </c>
      <c r="E2" s="117">
        <v>1</v>
      </c>
      <c r="G2" s="69" t="s">
        <v>6</v>
      </c>
      <c r="H2" t="s">
        <v>71</v>
      </c>
      <c r="I2" s="131" t="s">
        <v>9</v>
      </c>
    </row>
    <row r="3" spans="2:9" x14ac:dyDescent="0.25">
      <c r="B3" s="30" t="s">
        <v>11</v>
      </c>
      <c r="C3" s="31" t="s">
        <v>12</v>
      </c>
      <c r="D3" s="31" t="s">
        <v>13</v>
      </c>
      <c r="E3" s="117">
        <v>1</v>
      </c>
      <c r="G3" s="69" t="s">
        <v>6</v>
      </c>
      <c r="H3" t="s">
        <v>67</v>
      </c>
      <c r="I3" s="131" t="s">
        <v>10</v>
      </c>
    </row>
    <row r="4" spans="2:9" ht="15.75" thickBot="1" x14ac:dyDescent="0.3">
      <c r="B4" s="32" t="s">
        <v>21</v>
      </c>
      <c r="C4" s="28" t="s">
        <v>22</v>
      </c>
      <c r="D4" s="28" t="s">
        <v>23</v>
      </c>
      <c r="E4" s="117">
        <v>1</v>
      </c>
      <c r="G4" s="70" t="s">
        <v>6</v>
      </c>
      <c r="H4" s="64" t="s">
        <v>68</v>
      </c>
      <c r="I4" s="132" t="s">
        <v>8</v>
      </c>
    </row>
    <row r="5" spans="2:9" x14ac:dyDescent="0.25">
      <c r="B5" s="33" t="s">
        <v>11</v>
      </c>
      <c r="C5" s="28" t="s">
        <v>14</v>
      </c>
      <c r="D5" s="28" t="s">
        <v>15</v>
      </c>
      <c r="E5" s="117">
        <v>2</v>
      </c>
      <c r="G5" s="69" t="s">
        <v>11</v>
      </c>
      <c r="H5" t="s">
        <v>70</v>
      </c>
      <c r="I5" s="131" t="s">
        <v>15</v>
      </c>
    </row>
    <row r="6" spans="2:9" x14ac:dyDescent="0.25">
      <c r="B6" s="34" t="s">
        <v>16</v>
      </c>
      <c r="C6" s="31" t="s">
        <v>17</v>
      </c>
      <c r="D6" s="31" t="s">
        <v>18</v>
      </c>
      <c r="E6" s="117">
        <v>1</v>
      </c>
      <c r="G6" s="69" t="s">
        <v>11</v>
      </c>
      <c r="H6" t="s">
        <v>71</v>
      </c>
      <c r="I6" s="131" t="s">
        <v>12</v>
      </c>
    </row>
    <row r="7" spans="2:9" x14ac:dyDescent="0.25">
      <c r="B7" s="35" t="s">
        <v>16</v>
      </c>
      <c r="C7" s="28" t="s">
        <v>19</v>
      </c>
      <c r="D7" s="28" t="s">
        <v>20</v>
      </c>
      <c r="E7" s="117">
        <v>2</v>
      </c>
      <c r="G7" s="69" t="s">
        <v>11</v>
      </c>
      <c r="H7" t="s">
        <v>67</v>
      </c>
      <c r="I7" s="131" t="s">
        <v>95</v>
      </c>
    </row>
    <row r="8" spans="2:9" ht="15.75" thickBot="1" x14ac:dyDescent="0.3">
      <c r="B8" s="32" t="s">
        <v>21</v>
      </c>
      <c r="C8" s="28" t="s">
        <v>24</v>
      </c>
      <c r="D8" s="28" t="s">
        <v>25</v>
      </c>
      <c r="E8" s="117">
        <v>2</v>
      </c>
      <c r="G8" s="70" t="s">
        <v>11</v>
      </c>
      <c r="H8" s="64" t="s">
        <v>68</v>
      </c>
      <c r="I8" s="132" t="s">
        <v>14</v>
      </c>
    </row>
    <row r="9" spans="2:9" x14ac:dyDescent="0.25">
      <c r="B9" s="36" t="s">
        <v>26</v>
      </c>
      <c r="C9" s="28" t="s">
        <v>27</v>
      </c>
      <c r="D9" s="28" t="s">
        <v>28</v>
      </c>
      <c r="E9" s="117">
        <v>1</v>
      </c>
      <c r="G9" s="69" t="s">
        <v>16</v>
      </c>
      <c r="H9" t="s">
        <v>70</v>
      </c>
      <c r="I9" s="131" t="s">
        <v>18</v>
      </c>
    </row>
    <row r="10" spans="2:9" x14ac:dyDescent="0.25">
      <c r="B10" s="37" t="s">
        <v>31</v>
      </c>
      <c r="C10" s="31" t="s">
        <v>32</v>
      </c>
      <c r="D10" s="31" t="s">
        <v>33</v>
      </c>
      <c r="E10" s="117" t="s">
        <v>94</v>
      </c>
      <c r="G10" s="69" t="s">
        <v>16</v>
      </c>
      <c r="H10" t="s">
        <v>71</v>
      </c>
      <c r="I10" s="131" t="s">
        <v>17</v>
      </c>
    </row>
    <row r="11" spans="2:9" x14ac:dyDescent="0.25">
      <c r="B11" s="36" t="s">
        <v>26</v>
      </c>
      <c r="C11" s="28" t="s">
        <v>29</v>
      </c>
      <c r="D11" s="28" t="s">
        <v>30</v>
      </c>
      <c r="E11" s="117">
        <v>2</v>
      </c>
      <c r="G11" s="69" t="s">
        <v>16</v>
      </c>
      <c r="H11" t="s">
        <v>67</v>
      </c>
      <c r="I11" s="131" t="s">
        <v>20</v>
      </c>
    </row>
    <row r="12" spans="2:9" ht="15.75" thickBot="1" x14ac:dyDescent="0.3">
      <c r="B12" s="38" t="s">
        <v>31</v>
      </c>
      <c r="C12" s="28" t="s">
        <v>34</v>
      </c>
      <c r="D12" s="28" t="s">
        <v>35</v>
      </c>
      <c r="E12" s="117">
        <v>2</v>
      </c>
      <c r="G12" s="70" t="s">
        <v>16</v>
      </c>
      <c r="H12" s="64" t="s">
        <v>68</v>
      </c>
      <c r="I12" s="132" t="s">
        <v>19</v>
      </c>
    </row>
    <row r="13" spans="2:9" x14ac:dyDescent="0.25">
      <c r="B13" s="39" t="s">
        <v>36</v>
      </c>
      <c r="C13" s="28" t="s">
        <v>37</v>
      </c>
      <c r="D13" s="28" t="s">
        <v>38</v>
      </c>
      <c r="E13" s="117">
        <v>1</v>
      </c>
      <c r="G13" s="69" t="s">
        <v>21</v>
      </c>
      <c r="H13" t="s">
        <v>70</v>
      </c>
      <c r="I13" s="131" t="s">
        <v>25</v>
      </c>
    </row>
    <row r="14" spans="2:9" x14ac:dyDescent="0.25">
      <c r="B14" s="40" t="s">
        <v>41</v>
      </c>
      <c r="C14" s="28" t="s">
        <v>42</v>
      </c>
      <c r="D14" s="28" t="s">
        <v>43</v>
      </c>
      <c r="E14" s="117">
        <v>1</v>
      </c>
      <c r="G14" s="69" t="s">
        <v>21</v>
      </c>
      <c r="H14" t="s">
        <v>71</v>
      </c>
      <c r="I14" s="131" t="s">
        <v>22</v>
      </c>
    </row>
    <row r="15" spans="2:9" x14ac:dyDescent="0.25">
      <c r="B15" s="41" t="s">
        <v>41</v>
      </c>
      <c r="C15" s="31" t="s">
        <v>44</v>
      </c>
      <c r="D15" s="31" t="s">
        <v>45</v>
      </c>
      <c r="E15" s="117">
        <v>2</v>
      </c>
      <c r="G15" s="69" t="s">
        <v>21</v>
      </c>
      <c r="H15" t="s">
        <v>67</v>
      </c>
      <c r="I15" s="131" t="s">
        <v>23</v>
      </c>
    </row>
    <row r="16" spans="2:9" ht="15.75" thickBot="1" x14ac:dyDescent="0.3">
      <c r="B16" s="39" t="s">
        <v>36</v>
      </c>
      <c r="C16" s="28" t="s">
        <v>39</v>
      </c>
      <c r="D16" s="28" t="s">
        <v>40</v>
      </c>
      <c r="E16" s="117">
        <v>1</v>
      </c>
      <c r="G16" s="70" t="s">
        <v>21</v>
      </c>
      <c r="H16" s="64" t="s">
        <v>68</v>
      </c>
      <c r="I16" s="132" t="s">
        <v>24</v>
      </c>
    </row>
    <row r="17" spans="2:9" x14ac:dyDescent="0.25">
      <c r="B17" s="42" t="s">
        <v>46</v>
      </c>
      <c r="C17" s="28" t="s">
        <v>47</v>
      </c>
      <c r="D17" s="28" t="s">
        <v>48</v>
      </c>
      <c r="E17" s="117">
        <v>1</v>
      </c>
      <c r="G17" s="69" t="s">
        <v>26</v>
      </c>
      <c r="H17" t="s">
        <v>70</v>
      </c>
      <c r="I17" s="131" t="s">
        <v>27</v>
      </c>
    </row>
    <row r="18" spans="2:9" x14ac:dyDescent="0.25">
      <c r="B18" s="43" t="s">
        <v>46</v>
      </c>
      <c r="C18" s="31" t="s">
        <v>49</v>
      </c>
      <c r="D18" s="31" t="s">
        <v>50</v>
      </c>
      <c r="E18" s="117">
        <v>2</v>
      </c>
      <c r="G18" s="69" t="s">
        <v>26</v>
      </c>
      <c r="H18" t="s">
        <v>71</v>
      </c>
      <c r="I18" s="131" t="s">
        <v>30</v>
      </c>
    </row>
    <row r="19" spans="2:9" x14ac:dyDescent="0.25">
      <c r="B19" s="44" t="s">
        <v>51</v>
      </c>
      <c r="C19" s="28" t="s">
        <v>52</v>
      </c>
      <c r="D19" s="28" t="s">
        <v>53</v>
      </c>
      <c r="E19" s="117">
        <v>1</v>
      </c>
      <c r="G19" s="69" t="s">
        <v>26</v>
      </c>
      <c r="H19" t="s">
        <v>67</v>
      </c>
      <c r="I19" s="131" t="s">
        <v>29</v>
      </c>
    </row>
    <row r="20" spans="2:9" ht="15.75" thickBot="1" x14ac:dyDescent="0.3">
      <c r="B20" s="44" t="s">
        <v>51</v>
      </c>
      <c r="C20" s="28" t="s">
        <v>54</v>
      </c>
      <c r="D20" s="28" t="s">
        <v>55</v>
      </c>
      <c r="E20" s="117">
        <v>1</v>
      </c>
      <c r="G20" s="70" t="s">
        <v>26</v>
      </c>
      <c r="H20" s="64" t="s">
        <v>68</v>
      </c>
      <c r="I20" s="132" t="s">
        <v>28</v>
      </c>
    </row>
    <row r="21" spans="2:9" x14ac:dyDescent="0.25">
      <c r="B21" s="45" t="s">
        <v>56</v>
      </c>
      <c r="C21" s="28" t="s">
        <v>57</v>
      </c>
      <c r="D21" s="28" t="s">
        <v>58</v>
      </c>
      <c r="E21" s="117">
        <v>1</v>
      </c>
      <c r="G21" s="69" t="s">
        <v>31</v>
      </c>
      <c r="H21" t="s">
        <v>70</v>
      </c>
      <c r="I21" s="131" t="s">
        <v>32</v>
      </c>
    </row>
    <row r="22" spans="2:9" x14ac:dyDescent="0.25">
      <c r="B22" s="46" t="s">
        <v>61</v>
      </c>
      <c r="C22" s="31" t="s">
        <v>62</v>
      </c>
      <c r="D22" s="31" t="s">
        <v>63</v>
      </c>
      <c r="E22" s="117">
        <v>1</v>
      </c>
      <c r="G22" s="69" t="s">
        <v>31</v>
      </c>
      <c r="H22" t="s">
        <v>71</v>
      </c>
      <c r="I22" s="131" t="s">
        <v>33</v>
      </c>
    </row>
    <row r="23" spans="2:9" x14ac:dyDescent="0.25">
      <c r="B23" s="45" t="s">
        <v>56</v>
      </c>
      <c r="C23" s="28" t="s">
        <v>59</v>
      </c>
      <c r="D23" s="28" t="s">
        <v>60</v>
      </c>
      <c r="E23" s="117">
        <v>2</v>
      </c>
      <c r="G23" s="69" t="s">
        <v>31</v>
      </c>
      <c r="H23" t="s">
        <v>67</v>
      </c>
      <c r="I23" s="131" t="s">
        <v>35</v>
      </c>
    </row>
    <row r="24" spans="2:9" ht="15.75" thickBot="1" x14ac:dyDescent="0.3">
      <c r="B24" s="47" t="s">
        <v>61</v>
      </c>
      <c r="C24" s="28" t="s">
        <v>64</v>
      </c>
      <c r="D24" s="28" t="s">
        <v>65</v>
      </c>
      <c r="E24" s="117">
        <v>1</v>
      </c>
      <c r="G24" s="70" t="s">
        <v>31</v>
      </c>
      <c r="H24" s="64" t="s">
        <v>68</v>
      </c>
      <c r="I24" s="132" t="s">
        <v>34</v>
      </c>
    </row>
    <row r="25" spans="2:9" x14ac:dyDescent="0.25">
      <c r="B25" s="27" t="s">
        <v>6</v>
      </c>
      <c r="C25" s="28" t="s">
        <v>10</v>
      </c>
      <c r="D25" s="28" t="s">
        <v>8</v>
      </c>
      <c r="E25" s="117">
        <v>1</v>
      </c>
      <c r="G25" s="69" t="s">
        <v>36</v>
      </c>
      <c r="H25" t="s">
        <v>70</v>
      </c>
      <c r="I25" s="131" t="s">
        <v>37</v>
      </c>
    </row>
    <row r="26" spans="2:9" x14ac:dyDescent="0.25">
      <c r="B26" s="33" t="s">
        <v>11</v>
      </c>
      <c r="C26" s="28" t="s">
        <v>15</v>
      </c>
      <c r="D26" s="28" t="s">
        <v>13</v>
      </c>
      <c r="E26" s="117">
        <v>1</v>
      </c>
      <c r="G26" s="69" t="s">
        <v>36</v>
      </c>
      <c r="H26" t="s">
        <v>71</v>
      </c>
      <c r="I26" s="131" t="s">
        <v>39</v>
      </c>
    </row>
    <row r="27" spans="2:9" x14ac:dyDescent="0.25">
      <c r="B27" s="30" t="s">
        <v>11</v>
      </c>
      <c r="C27" s="31" t="s">
        <v>12</v>
      </c>
      <c r="D27" s="31" t="s">
        <v>14</v>
      </c>
      <c r="E27" s="117">
        <v>1</v>
      </c>
      <c r="G27" s="69" t="s">
        <v>36</v>
      </c>
      <c r="H27" t="s">
        <v>67</v>
      </c>
      <c r="I27" s="131" t="s">
        <v>38</v>
      </c>
    </row>
    <row r="28" spans="2:9" ht="15.75" thickBot="1" x14ac:dyDescent="0.3">
      <c r="B28" s="27" t="s">
        <v>6</v>
      </c>
      <c r="C28" s="28" t="s">
        <v>7</v>
      </c>
      <c r="D28" s="28" t="s">
        <v>9</v>
      </c>
      <c r="E28" s="117">
        <v>1</v>
      </c>
      <c r="G28" s="70" t="s">
        <v>36</v>
      </c>
      <c r="H28" s="64" t="s">
        <v>68</v>
      </c>
      <c r="I28" s="132" t="s">
        <v>40</v>
      </c>
    </row>
    <row r="29" spans="2:9" x14ac:dyDescent="0.25">
      <c r="B29" s="35" t="s">
        <v>16</v>
      </c>
      <c r="C29" s="28" t="s">
        <v>20</v>
      </c>
      <c r="D29" s="28" t="s">
        <v>18</v>
      </c>
      <c r="E29" s="117">
        <v>2</v>
      </c>
      <c r="G29" s="69" t="s">
        <v>41</v>
      </c>
      <c r="H29" t="s">
        <v>70</v>
      </c>
      <c r="I29" s="131" t="s">
        <v>42</v>
      </c>
    </row>
    <row r="30" spans="2:9" x14ac:dyDescent="0.25">
      <c r="B30" s="48" t="s">
        <v>21</v>
      </c>
      <c r="C30" s="31" t="s">
        <v>22</v>
      </c>
      <c r="D30" s="31" t="s">
        <v>24</v>
      </c>
      <c r="E30" s="117">
        <v>1</v>
      </c>
      <c r="G30" s="69" t="s">
        <v>41</v>
      </c>
      <c r="H30" t="s">
        <v>71</v>
      </c>
      <c r="I30" s="131" t="s">
        <v>45</v>
      </c>
    </row>
    <row r="31" spans="2:9" x14ac:dyDescent="0.25">
      <c r="B31" s="35" t="s">
        <v>16</v>
      </c>
      <c r="C31" s="28" t="s">
        <v>17</v>
      </c>
      <c r="D31" s="28" t="s">
        <v>19</v>
      </c>
      <c r="E31" s="117">
        <v>1</v>
      </c>
      <c r="G31" s="69" t="s">
        <v>41</v>
      </c>
      <c r="H31" t="s">
        <v>67</v>
      </c>
      <c r="I31" s="131" t="s">
        <v>44</v>
      </c>
    </row>
    <row r="32" spans="2:9" ht="15.75" thickBot="1" x14ac:dyDescent="0.3">
      <c r="B32" s="32" t="s">
        <v>21</v>
      </c>
      <c r="C32" s="28" t="s">
        <v>25</v>
      </c>
      <c r="D32" s="28" t="s">
        <v>23</v>
      </c>
      <c r="E32" s="117">
        <v>1</v>
      </c>
      <c r="G32" s="70" t="s">
        <v>41</v>
      </c>
      <c r="H32" s="64" t="s">
        <v>68</v>
      </c>
      <c r="I32" s="132" t="s">
        <v>43</v>
      </c>
    </row>
    <row r="33" spans="2:9" x14ac:dyDescent="0.25">
      <c r="B33" s="36" t="s">
        <v>26</v>
      </c>
      <c r="C33" s="28" t="s">
        <v>27</v>
      </c>
      <c r="D33" s="28" t="s">
        <v>29</v>
      </c>
      <c r="E33" s="117">
        <v>1</v>
      </c>
      <c r="G33" s="69" t="s">
        <v>46</v>
      </c>
      <c r="H33" t="s">
        <v>70</v>
      </c>
      <c r="I33" s="131" t="s">
        <v>47</v>
      </c>
    </row>
    <row r="34" spans="2:9" x14ac:dyDescent="0.25">
      <c r="B34" s="37" t="s">
        <v>31</v>
      </c>
      <c r="C34" s="31" t="s">
        <v>32</v>
      </c>
      <c r="D34" s="31" t="s">
        <v>34</v>
      </c>
      <c r="E34" s="117">
        <v>1</v>
      </c>
      <c r="G34" s="69" t="s">
        <v>46</v>
      </c>
      <c r="H34" t="s">
        <v>71</v>
      </c>
      <c r="I34" s="131" t="s">
        <v>48</v>
      </c>
    </row>
    <row r="35" spans="2:9" x14ac:dyDescent="0.25">
      <c r="B35" s="36" t="s">
        <v>26</v>
      </c>
      <c r="C35" s="28" t="s">
        <v>30</v>
      </c>
      <c r="D35" s="28" t="s">
        <v>28</v>
      </c>
      <c r="E35" s="117">
        <v>1</v>
      </c>
      <c r="G35" s="69" t="s">
        <v>46</v>
      </c>
      <c r="H35" t="s">
        <v>67</v>
      </c>
      <c r="I35" s="131" t="s">
        <v>50</v>
      </c>
    </row>
    <row r="36" spans="2:9" ht="15.75" thickBot="1" x14ac:dyDescent="0.3">
      <c r="B36" s="38" t="s">
        <v>31</v>
      </c>
      <c r="C36" s="28" t="s">
        <v>35</v>
      </c>
      <c r="D36" s="28" t="s">
        <v>33</v>
      </c>
      <c r="E36" s="117">
        <v>2</v>
      </c>
      <c r="G36" s="70" t="s">
        <v>46</v>
      </c>
      <c r="H36" s="64" t="s">
        <v>68</v>
      </c>
      <c r="I36" s="132" t="s">
        <v>49</v>
      </c>
    </row>
    <row r="37" spans="2:9" x14ac:dyDescent="0.25">
      <c r="B37" s="39" t="s">
        <v>36</v>
      </c>
      <c r="C37" s="28" t="s">
        <v>37</v>
      </c>
      <c r="D37" s="28" t="s">
        <v>39</v>
      </c>
      <c r="E37" s="117">
        <v>1</v>
      </c>
      <c r="G37" s="69" t="s">
        <v>51</v>
      </c>
      <c r="H37" t="s">
        <v>70</v>
      </c>
      <c r="I37" s="131" t="s">
        <v>52</v>
      </c>
    </row>
    <row r="38" spans="2:9" x14ac:dyDescent="0.25">
      <c r="B38" s="40" t="s">
        <v>41</v>
      </c>
      <c r="C38" s="28" t="s">
        <v>42</v>
      </c>
      <c r="D38" s="28" t="s">
        <v>44</v>
      </c>
      <c r="E38" s="117">
        <v>1</v>
      </c>
      <c r="G38" s="69" t="s">
        <v>51</v>
      </c>
      <c r="H38" t="s">
        <v>71</v>
      </c>
      <c r="I38" s="131" t="s">
        <v>54</v>
      </c>
    </row>
    <row r="39" spans="2:9" x14ac:dyDescent="0.25">
      <c r="B39" s="41" t="s">
        <v>41</v>
      </c>
      <c r="C39" s="31" t="s">
        <v>45</v>
      </c>
      <c r="D39" s="31" t="s">
        <v>43</v>
      </c>
      <c r="E39" s="117">
        <v>1</v>
      </c>
      <c r="G39" s="69" t="s">
        <v>51</v>
      </c>
      <c r="H39" t="s">
        <v>67</v>
      </c>
      <c r="I39" s="131" t="s">
        <v>53</v>
      </c>
    </row>
    <row r="40" spans="2:9" ht="15.75" thickBot="1" x14ac:dyDescent="0.3">
      <c r="B40" s="39" t="s">
        <v>36</v>
      </c>
      <c r="C40" s="28" t="s">
        <v>40</v>
      </c>
      <c r="D40" s="28" t="s">
        <v>38</v>
      </c>
      <c r="E40" s="117">
        <v>2</v>
      </c>
      <c r="G40" s="70" t="s">
        <v>51</v>
      </c>
      <c r="H40" s="64" t="s">
        <v>68</v>
      </c>
      <c r="I40" s="132" t="s">
        <v>55</v>
      </c>
    </row>
    <row r="41" spans="2:9" x14ac:dyDescent="0.25">
      <c r="B41" s="42" t="s">
        <v>46</v>
      </c>
      <c r="C41" s="28" t="s">
        <v>47</v>
      </c>
      <c r="D41" s="28" t="s">
        <v>49</v>
      </c>
      <c r="E41" s="117">
        <v>1</v>
      </c>
      <c r="G41" s="69" t="s">
        <v>56</v>
      </c>
      <c r="H41" t="s">
        <v>70</v>
      </c>
      <c r="I41" s="131" t="s">
        <v>57</v>
      </c>
    </row>
    <row r="42" spans="2:9" x14ac:dyDescent="0.25">
      <c r="B42" s="49" t="s">
        <v>51</v>
      </c>
      <c r="C42" s="31" t="s">
        <v>52</v>
      </c>
      <c r="D42" s="31" t="s">
        <v>54</v>
      </c>
      <c r="E42" s="117">
        <v>1</v>
      </c>
      <c r="G42" s="69" t="s">
        <v>56</v>
      </c>
      <c r="H42" t="s">
        <v>71</v>
      </c>
      <c r="I42" s="131" t="s">
        <v>60</v>
      </c>
    </row>
    <row r="43" spans="2:9" x14ac:dyDescent="0.25">
      <c r="B43" s="42" t="s">
        <v>46</v>
      </c>
      <c r="C43" s="28" t="s">
        <v>50</v>
      </c>
      <c r="D43" s="28" t="s">
        <v>48</v>
      </c>
      <c r="E43" s="117" t="s">
        <v>94</v>
      </c>
      <c r="G43" s="69" t="s">
        <v>56</v>
      </c>
      <c r="H43" t="s">
        <v>67</v>
      </c>
      <c r="I43" s="131" t="s">
        <v>58</v>
      </c>
    </row>
    <row r="44" spans="2:9" ht="15.75" thickBot="1" x14ac:dyDescent="0.3">
      <c r="B44" s="44" t="s">
        <v>51</v>
      </c>
      <c r="C44" s="28" t="s">
        <v>55</v>
      </c>
      <c r="D44" s="28" t="s">
        <v>53</v>
      </c>
      <c r="E44" s="117">
        <v>2</v>
      </c>
      <c r="G44" s="70" t="s">
        <v>56</v>
      </c>
      <c r="H44" s="64" t="s">
        <v>68</v>
      </c>
      <c r="I44" s="132" t="s">
        <v>59</v>
      </c>
    </row>
    <row r="45" spans="2:9" x14ac:dyDescent="0.25">
      <c r="B45" s="45" t="s">
        <v>56</v>
      </c>
      <c r="C45" s="28" t="s">
        <v>57</v>
      </c>
      <c r="D45" s="28" t="s">
        <v>59</v>
      </c>
      <c r="E45" s="117">
        <v>1</v>
      </c>
      <c r="G45" s="69" t="s">
        <v>61</v>
      </c>
      <c r="H45" t="s">
        <v>70</v>
      </c>
      <c r="I45" s="131" t="s">
        <v>62</v>
      </c>
    </row>
    <row r="46" spans="2:9" x14ac:dyDescent="0.25">
      <c r="B46" s="46" t="s">
        <v>61</v>
      </c>
      <c r="C46" s="31" t="s">
        <v>62</v>
      </c>
      <c r="D46" s="31" t="s">
        <v>64</v>
      </c>
      <c r="E46" s="117">
        <v>1</v>
      </c>
      <c r="G46" s="69" t="s">
        <v>61</v>
      </c>
      <c r="H46" t="s">
        <v>71</v>
      </c>
      <c r="I46" s="131" t="s">
        <v>63</v>
      </c>
    </row>
    <row r="47" spans="2:9" x14ac:dyDescent="0.25">
      <c r="B47" s="45" t="s">
        <v>56</v>
      </c>
      <c r="C47" s="28" t="s">
        <v>60</v>
      </c>
      <c r="D47" s="28" t="s">
        <v>58</v>
      </c>
      <c r="E47" s="117">
        <v>1</v>
      </c>
      <c r="G47" s="69" t="s">
        <v>61</v>
      </c>
      <c r="H47" t="s">
        <v>67</v>
      </c>
      <c r="I47" s="131" t="s">
        <v>64</v>
      </c>
    </row>
    <row r="48" spans="2:9" ht="15.75" thickBot="1" x14ac:dyDescent="0.3">
      <c r="B48" s="47" t="s">
        <v>61</v>
      </c>
      <c r="C48" s="28" t="s">
        <v>65</v>
      </c>
      <c r="D48" s="28" t="s">
        <v>63</v>
      </c>
      <c r="E48" s="117">
        <v>2</v>
      </c>
      <c r="G48" s="70" t="s">
        <v>61</v>
      </c>
      <c r="H48" s="64" t="s">
        <v>68</v>
      </c>
      <c r="I48" s="132" t="s">
        <v>65</v>
      </c>
    </row>
    <row r="49" spans="2:5" x14ac:dyDescent="0.25">
      <c r="B49" s="33" t="s">
        <v>11</v>
      </c>
      <c r="C49" s="28" t="s">
        <v>15</v>
      </c>
      <c r="D49" s="28" t="s">
        <v>12</v>
      </c>
      <c r="E49" s="117">
        <v>1</v>
      </c>
    </row>
    <row r="50" spans="2:5" x14ac:dyDescent="0.25">
      <c r="B50" s="33" t="s">
        <v>11</v>
      </c>
      <c r="C50" s="28" t="s">
        <v>13</v>
      </c>
      <c r="D50" s="28" t="s">
        <v>14</v>
      </c>
      <c r="E50" s="117">
        <v>1</v>
      </c>
    </row>
    <row r="51" spans="2:5" x14ac:dyDescent="0.25">
      <c r="B51" s="35" t="s">
        <v>16</v>
      </c>
      <c r="C51" s="28" t="s">
        <v>20</v>
      </c>
      <c r="D51" s="28" t="s">
        <v>17</v>
      </c>
      <c r="E51" s="117">
        <v>2</v>
      </c>
    </row>
    <row r="52" spans="2:5" x14ac:dyDescent="0.25">
      <c r="B52" s="34" t="s">
        <v>16</v>
      </c>
      <c r="C52" s="31" t="s">
        <v>18</v>
      </c>
      <c r="D52" s="31" t="s">
        <v>19</v>
      </c>
      <c r="E52" s="117">
        <v>1</v>
      </c>
    </row>
    <row r="53" spans="2:5" x14ac:dyDescent="0.25">
      <c r="B53" s="27" t="s">
        <v>6</v>
      </c>
      <c r="C53" s="28" t="s">
        <v>10</v>
      </c>
      <c r="D53" s="28" t="s">
        <v>7</v>
      </c>
      <c r="E53" s="117">
        <v>2</v>
      </c>
    </row>
    <row r="54" spans="2:5" x14ac:dyDescent="0.25">
      <c r="B54" s="27" t="s">
        <v>6</v>
      </c>
      <c r="C54" s="28" t="s">
        <v>8</v>
      </c>
      <c r="D54" s="28" t="s">
        <v>9</v>
      </c>
      <c r="E54" s="117">
        <v>2</v>
      </c>
    </row>
    <row r="55" spans="2:5" x14ac:dyDescent="0.25">
      <c r="B55" s="36" t="s">
        <v>26</v>
      </c>
      <c r="C55" s="28" t="s">
        <v>30</v>
      </c>
      <c r="D55" s="28" t="s">
        <v>27</v>
      </c>
      <c r="E55" s="117">
        <v>2</v>
      </c>
    </row>
    <row r="56" spans="2:5" x14ac:dyDescent="0.25">
      <c r="B56" s="50" t="s">
        <v>26</v>
      </c>
      <c r="C56" s="31" t="s">
        <v>28</v>
      </c>
      <c r="D56" s="31" t="s">
        <v>29</v>
      </c>
      <c r="E56" s="117">
        <v>2</v>
      </c>
    </row>
    <row r="57" spans="2:5" x14ac:dyDescent="0.25">
      <c r="B57" s="32" t="s">
        <v>21</v>
      </c>
      <c r="C57" s="28" t="s">
        <v>25</v>
      </c>
      <c r="D57" s="28" t="s">
        <v>22</v>
      </c>
      <c r="E57" s="117">
        <v>1</v>
      </c>
    </row>
    <row r="58" spans="2:5" x14ac:dyDescent="0.25">
      <c r="B58" s="32" t="s">
        <v>21</v>
      </c>
      <c r="C58" s="28" t="s">
        <v>23</v>
      </c>
      <c r="D58" s="28" t="s">
        <v>24</v>
      </c>
      <c r="E58" s="117" t="s">
        <v>94</v>
      </c>
    </row>
    <row r="59" spans="2:5" x14ac:dyDescent="0.25">
      <c r="B59" s="38" t="s">
        <v>31</v>
      </c>
      <c r="C59" s="28" t="s">
        <v>35</v>
      </c>
      <c r="D59" s="28" t="s">
        <v>32</v>
      </c>
      <c r="E59" s="117">
        <v>2</v>
      </c>
    </row>
    <row r="60" spans="2:5" x14ac:dyDescent="0.25">
      <c r="B60" s="38" t="s">
        <v>31</v>
      </c>
      <c r="C60" s="28" t="s">
        <v>33</v>
      </c>
      <c r="D60" s="28" t="s">
        <v>34</v>
      </c>
      <c r="E60" s="117">
        <v>1</v>
      </c>
    </row>
    <row r="61" spans="2:5" x14ac:dyDescent="0.25">
      <c r="B61" s="42" t="s">
        <v>46</v>
      </c>
      <c r="C61" s="28" t="s">
        <v>50</v>
      </c>
      <c r="D61" s="28" t="s">
        <v>47</v>
      </c>
      <c r="E61" s="117">
        <v>2</v>
      </c>
    </row>
    <row r="62" spans="2:5" x14ac:dyDescent="0.25">
      <c r="B62" s="43" t="s">
        <v>46</v>
      </c>
      <c r="C62" s="31" t="s">
        <v>48</v>
      </c>
      <c r="D62" s="31" t="s">
        <v>49</v>
      </c>
      <c r="E62" s="117">
        <v>1</v>
      </c>
    </row>
    <row r="63" spans="2:5" x14ac:dyDescent="0.25">
      <c r="B63" s="39" t="s">
        <v>36</v>
      </c>
      <c r="C63" s="28" t="s">
        <v>40</v>
      </c>
      <c r="D63" s="28" t="s">
        <v>37</v>
      </c>
      <c r="E63" s="117">
        <v>2</v>
      </c>
    </row>
    <row r="64" spans="2:5" x14ac:dyDescent="0.25">
      <c r="B64" s="39" t="s">
        <v>36</v>
      </c>
      <c r="C64" s="28" t="s">
        <v>38</v>
      </c>
      <c r="D64" s="28" t="s">
        <v>39</v>
      </c>
      <c r="E64" s="117">
        <v>2</v>
      </c>
    </row>
    <row r="65" spans="2:5" x14ac:dyDescent="0.25">
      <c r="B65" s="40" t="s">
        <v>41</v>
      </c>
      <c r="C65" s="28" t="s">
        <v>45</v>
      </c>
      <c r="D65" s="28" t="s">
        <v>42</v>
      </c>
      <c r="E65" s="117">
        <v>2</v>
      </c>
    </row>
    <row r="66" spans="2:5" x14ac:dyDescent="0.25">
      <c r="B66" s="40" t="s">
        <v>41</v>
      </c>
      <c r="C66" s="28" t="s">
        <v>43</v>
      </c>
      <c r="D66" s="28" t="s">
        <v>44</v>
      </c>
      <c r="E66" s="117">
        <v>2</v>
      </c>
    </row>
    <row r="67" spans="2:5" x14ac:dyDescent="0.25">
      <c r="B67" s="47" t="s">
        <v>61</v>
      </c>
      <c r="C67" s="28" t="s">
        <v>65</v>
      </c>
      <c r="D67" s="28" t="s">
        <v>62</v>
      </c>
      <c r="E67" s="117">
        <v>2</v>
      </c>
    </row>
    <row r="68" spans="2:5" x14ac:dyDescent="0.25">
      <c r="B68" s="46" t="s">
        <v>61</v>
      </c>
      <c r="C68" s="31" t="s">
        <v>63</v>
      </c>
      <c r="D68" s="31" t="s">
        <v>64</v>
      </c>
      <c r="E68" s="117" t="s">
        <v>94</v>
      </c>
    </row>
    <row r="69" spans="2:5" x14ac:dyDescent="0.25">
      <c r="B69" s="44" t="s">
        <v>51</v>
      </c>
      <c r="C69" s="28" t="s">
        <v>55</v>
      </c>
      <c r="D69" s="28" t="s">
        <v>52</v>
      </c>
      <c r="E69" s="117">
        <v>2</v>
      </c>
    </row>
    <row r="70" spans="2:5" x14ac:dyDescent="0.25">
      <c r="B70" s="44" t="s">
        <v>51</v>
      </c>
      <c r="C70" s="28" t="s">
        <v>53</v>
      </c>
      <c r="D70" s="28" t="s">
        <v>54</v>
      </c>
      <c r="E70" s="117">
        <v>2</v>
      </c>
    </row>
    <row r="71" spans="2:5" x14ac:dyDescent="0.25">
      <c r="B71" s="45" t="s">
        <v>56</v>
      </c>
      <c r="C71" s="28" t="s">
        <v>60</v>
      </c>
      <c r="D71" s="28" t="s">
        <v>57</v>
      </c>
      <c r="E71" s="117">
        <v>2</v>
      </c>
    </row>
    <row r="72" spans="2:5" x14ac:dyDescent="0.25">
      <c r="B72" s="51" t="s">
        <v>56</v>
      </c>
      <c r="C72" s="31" t="s">
        <v>58</v>
      </c>
      <c r="D72" s="31" t="s">
        <v>59</v>
      </c>
      <c r="E72" s="117">
        <v>1</v>
      </c>
    </row>
  </sheetData>
  <conditionalFormatting sqref="G1:G48">
    <cfRule type="cellIs" dxfId="67" priority="67" operator="equal">
      <formula>"K"</formula>
    </cfRule>
    <cfRule type="cellIs" dxfId="66" priority="66" operator="equal">
      <formula>"J"</formula>
    </cfRule>
    <cfRule type="cellIs" dxfId="65" priority="65" operator="equal">
      <formula>"I"</formula>
    </cfRule>
    <cfRule type="cellIs" dxfId="64" priority="64" operator="equal">
      <formula>"H"</formula>
    </cfRule>
    <cfRule type="cellIs" dxfId="63" priority="63" operator="equal">
      <formula>"G"</formula>
    </cfRule>
    <cfRule type="cellIs" dxfId="62" priority="62" operator="equal">
      <formula>"F"</formula>
    </cfRule>
    <cfRule type="cellIs" dxfId="61" priority="68" operator="equal">
      <formula>"L"</formula>
    </cfRule>
    <cfRule type="cellIs" dxfId="60" priority="61" operator="equal">
      <formula>"E"</formula>
    </cfRule>
    <cfRule type="cellIs" dxfId="59" priority="59" operator="equal">
      <formula>"C"</formula>
    </cfRule>
    <cfRule type="cellIs" dxfId="58" priority="58" operator="equal">
      <formula>"B"</formula>
    </cfRule>
    <cfRule type="cellIs" dxfId="57" priority="57" operator="equal">
      <formula>"A"</formula>
    </cfRule>
    <cfRule type="cellIs" dxfId="56" priority="60" operator="equal">
      <formula>"D"</formula>
    </cfRule>
  </conditionalFormatting>
  <conditionalFormatting sqref="I1">
    <cfRule type="duplicateValues" dxfId="55" priority="56"/>
    <cfRule type="duplicateValues" dxfId="54" priority="55"/>
  </conditionalFormatting>
  <conditionalFormatting sqref="I2">
    <cfRule type="duplicateValues" dxfId="53" priority="53"/>
    <cfRule type="duplicateValues" dxfId="52" priority="54"/>
  </conditionalFormatting>
  <conditionalFormatting sqref="I3">
    <cfRule type="duplicateValues" dxfId="51" priority="52"/>
    <cfRule type="duplicateValues" dxfId="50" priority="51"/>
  </conditionalFormatting>
  <conditionalFormatting sqref="I4">
    <cfRule type="duplicateValues" dxfId="49" priority="50"/>
    <cfRule type="duplicateValues" dxfId="48" priority="49"/>
  </conditionalFormatting>
  <conditionalFormatting sqref="I5">
    <cfRule type="duplicateValues" dxfId="47" priority="48"/>
    <cfRule type="duplicateValues" dxfId="46" priority="47"/>
  </conditionalFormatting>
  <conditionalFormatting sqref="I6">
    <cfRule type="duplicateValues" dxfId="45" priority="46"/>
    <cfRule type="duplicateValues" dxfId="44" priority="45"/>
  </conditionalFormatting>
  <conditionalFormatting sqref="I7">
    <cfRule type="duplicateValues" dxfId="43" priority="44"/>
    <cfRule type="duplicateValues" dxfId="42" priority="43"/>
  </conditionalFormatting>
  <conditionalFormatting sqref="I8">
    <cfRule type="duplicateValues" dxfId="41" priority="42"/>
    <cfRule type="duplicateValues" dxfId="40" priority="41"/>
  </conditionalFormatting>
  <conditionalFormatting sqref="I9">
    <cfRule type="duplicateValues" dxfId="39" priority="40"/>
  </conditionalFormatting>
  <conditionalFormatting sqref="I10">
    <cfRule type="duplicateValues" dxfId="38" priority="37"/>
  </conditionalFormatting>
  <conditionalFormatting sqref="I11">
    <cfRule type="duplicateValues" dxfId="37" priority="39"/>
  </conditionalFormatting>
  <conditionalFormatting sqref="I12">
    <cfRule type="duplicateValues" dxfId="36" priority="38"/>
  </conditionalFormatting>
  <conditionalFormatting sqref="I13">
    <cfRule type="duplicateValues" dxfId="35" priority="36"/>
  </conditionalFormatting>
  <conditionalFormatting sqref="I14">
    <cfRule type="duplicateValues" dxfId="34" priority="35"/>
  </conditionalFormatting>
  <conditionalFormatting sqref="I15">
    <cfRule type="duplicateValues" dxfId="33" priority="34"/>
  </conditionalFormatting>
  <conditionalFormatting sqref="I16">
    <cfRule type="duplicateValues" dxfId="32" priority="33"/>
  </conditionalFormatting>
  <conditionalFormatting sqref="I17">
    <cfRule type="duplicateValues" dxfId="31" priority="32"/>
  </conditionalFormatting>
  <conditionalFormatting sqref="I18">
    <cfRule type="duplicateValues" dxfId="30" priority="30"/>
  </conditionalFormatting>
  <conditionalFormatting sqref="I19">
    <cfRule type="duplicateValues" dxfId="29" priority="29"/>
  </conditionalFormatting>
  <conditionalFormatting sqref="I20">
    <cfRule type="duplicateValues" dxfId="28" priority="31"/>
  </conditionalFormatting>
  <conditionalFormatting sqref="I21">
    <cfRule type="duplicateValues" dxfId="27" priority="28"/>
  </conditionalFormatting>
  <conditionalFormatting sqref="I22">
    <cfRule type="duplicateValues" dxfId="26" priority="27"/>
  </conditionalFormatting>
  <conditionalFormatting sqref="I23">
    <cfRule type="duplicateValues" dxfId="25" priority="25"/>
  </conditionalFormatting>
  <conditionalFormatting sqref="I24">
    <cfRule type="duplicateValues" dxfId="24" priority="26"/>
  </conditionalFormatting>
  <conditionalFormatting sqref="I25">
    <cfRule type="duplicateValues" dxfId="23" priority="24"/>
  </conditionalFormatting>
  <conditionalFormatting sqref="I26">
    <cfRule type="duplicateValues" dxfId="22" priority="23"/>
  </conditionalFormatting>
  <conditionalFormatting sqref="I27">
    <cfRule type="duplicateValues" dxfId="21" priority="22"/>
  </conditionalFormatting>
  <conditionalFormatting sqref="I28">
    <cfRule type="duplicateValues" dxfId="20" priority="21"/>
  </conditionalFormatting>
  <conditionalFormatting sqref="I29">
    <cfRule type="duplicateValues" dxfId="19" priority="20"/>
  </conditionalFormatting>
  <conditionalFormatting sqref="I30">
    <cfRule type="duplicateValues" dxfId="18" priority="19"/>
  </conditionalFormatting>
  <conditionalFormatting sqref="I31">
    <cfRule type="duplicateValues" dxfId="17" priority="18"/>
  </conditionalFormatting>
  <conditionalFormatting sqref="I32">
    <cfRule type="duplicateValues" dxfId="16" priority="17"/>
  </conditionalFormatting>
  <conditionalFormatting sqref="I33">
    <cfRule type="duplicateValues" dxfId="15" priority="16"/>
  </conditionalFormatting>
  <conditionalFormatting sqref="I34">
    <cfRule type="duplicateValues" dxfId="14" priority="15"/>
  </conditionalFormatting>
  <conditionalFormatting sqref="I35">
    <cfRule type="duplicateValues" dxfId="13" priority="14"/>
  </conditionalFormatting>
  <conditionalFormatting sqref="I36">
    <cfRule type="duplicateValues" dxfId="12" priority="13"/>
  </conditionalFormatting>
  <conditionalFormatting sqref="I37">
    <cfRule type="duplicateValues" dxfId="11" priority="12"/>
  </conditionalFormatting>
  <conditionalFormatting sqref="I38">
    <cfRule type="duplicateValues" dxfId="10" priority="11"/>
  </conditionalFormatting>
  <conditionalFormatting sqref="I39">
    <cfRule type="duplicateValues" dxfId="9" priority="10"/>
  </conditionalFormatting>
  <conditionalFormatting sqref="I40">
    <cfRule type="duplicateValues" dxfId="8" priority="9"/>
  </conditionalFormatting>
  <conditionalFormatting sqref="I41">
    <cfRule type="duplicateValues" dxfId="7" priority="8"/>
  </conditionalFormatting>
  <conditionalFormatting sqref="I42">
    <cfRule type="duplicateValues" dxfId="6" priority="7"/>
  </conditionalFormatting>
  <conditionalFormatting sqref="I43">
    <cfRule type="duplicateValues" dxfId="5" priority="6"/>
  </conditionalFormatting>
  <conditionalFormatting sqref="I44">
    <cfRule type="duplicateValues" dxfId="4" priority="5"/>
  </conditionalFormatting>
  <conditionalFormatting sqref="I45">
    <cfRule type="duplicateValues" dxfId="3" priority="4"/>
  </conditionalFormatting>
  <conditionalFormatting sqref="I46">
    <cfRule type="duplicateValues" dxfId="2" priority="3"/>
  </conditionalFormatting>
  <conditionalFormatting sqref="I47">
    <cfRule type="duplicateValues" dxfId="1" priority="2"/>
  </conditionalFormatting>
  <conditionalFormatting sqref="I48">
    <cfRule type="duplicateValues" dxfId="0" priority="1"/>
  </conditionalFormatting>
  <dataValidations count="12">
    <dataValidation type="list" allowBlank="1" showInputMessage="1" showErrorMessage="1" sqref="I1:I4" xr:uid="{5051657F-4559-4FDF-B48F-B454AADEF864}">
      <formula1>"Mexico,South Africa,South Korea,Czechia"</formula1>
    </dataValidation>
    <dataValidation type="list" allowBlank="1" showInputMessage="1" showErrorMessage="1" sqref="I5:I8" xr:uid="{DCA7FCD8-654A-4D10-8D03-430305D9F106}">
      <formula1>"Canada, Bosnia &amp; Herzegovina,Qatar,Switzerland"</formula1>
    </dataValidation>
    <dataValidation type="list" allowBlank="1" showInputMessage="1" showErrorMessage="1" sqref="I9:I12" xr:uid="{BADADFC3-7B3F-4463-871F-B52A41469C31}">
      <formula1>"Brazil,Morocco,Haiti,Scotland"</formula1>
    </dataValidation>
    <dataValidation type="list" allowBlank="1" showInputMessage="1" showErrorMessage="1" sqref="I13:I16" xr:uid="{83B2D851-97A8-4D58-B7D6-1755BAF53426}">
      <formula1>"Türkiye,Australia,USA,Paraguay"</formula1>
    </dataValidation>
    <dataValidation type="list" allowBlank="1" showInputMessage="1" showErrorMessage="1" sqref="I17:I20" xr:uid="{E664A722-591C-42E4-B160-4D5EE8744F17}">
      <formula1>"Germany,Côte d'Ivoire,Curaçao,Ecuador"</formula1>
    </dataValidation>
    <dataValidation type="list" allowBlank="1" showInputMessage="1" showErrorMessage="1" sqref="I21:I24" xr:uid="{B83C674A-8281-4C87-8C49-C41C097DBA33}">
      <formula1>"Netherlands,Japan,Sweden,Tunisia"</formula1>
    </dataValidation>
    <dataValidation type="list" allowBlank="1" showInputMessage="1" showErrorMessage="1" sqref="I25:I28" xr:uid="{DEB2FBB2-40C3-4785-972A-08698FB64A7D}">
      <formula1>"Belgium,Egypt,IR Iran,New Zealand"</formula1>
    </dataValidation>
    <dataValidation type="list" allowBlank="1" showInputMessage="1" showErrorMessage="1" sqref="I29:I32" xr:uid="{B4D3DDCF-3C81-46F1-8C2F-515F1A2F2A04}">
      <formula1>"Spain,Cabo Verde,Saudi Arabia,Uruguay"</formula1>
    </dataValidation>
    <dataValidation type="list" allowBlank="1" showInputMessage="1" showErrorMessage="1" sqref="I33:I36" xr:uid="{345AE30A-4411-4E19-A9A3-01F57BB64401}">
      <formula1>"France,Senegal,Iraq,Norway"</formula1>
    </dataValidation>
    <dataValidation type="list" allowBlank="1" showInputMessage="1" showErrorMessage="1" sqref="I37:I40" xr:uid="{613F509F-8815-4D39-BD63-2621DE8AC5A2}">
      <formula1>"Argentina,Algeria,Austria,Jordan"</formula1>
    </dataValidation>
    <dataValidation type="list" allowBlank="1" showInputMessage="1" showErrorMessage="1" sqref="I41:I44" xr:uid="{C299A747-DD50-45F1-B945-016FC53B8144}">
      <formula1>"Portugal,Congo DR,Uzbekistan,Colombia"</formula1>
    </dataValidation>
    <dataValidation type="list" allowBlank="1" showInputMessage="1" showErrorMessage="1" sqref="I45:I48" xr:uid="{3E2B4592-A127-4A8D-A2B7-7EB2ED1EF7A0}">
      <formula1>"England,Croatia,Ghana,Panama"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922C07-4EC8-4C3B-A5F7-AC3C3E43B3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Score</vt:lpstr>
      <vt:lpstr>Predictions</vt:lpstr>
      <vt:lpstr>Leaderboard</vt:lpstr>
      <vt:lpstr>Stats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O’Brien</dc:creator>
  <cp:lastModifiedBy>Matthew O’Brien</cp:lastModifiedBy>
  <dcterms:created xsi:type="dcterms:W3CDTF">2026-05-27T13:13:52Z</dcterms:created>
  <dcterms:modified xsi:type="dcterms:W3CDTF">2026-06-12T20:59:54Z</dcterms:modified>
</cp:coreProperties>
</file>